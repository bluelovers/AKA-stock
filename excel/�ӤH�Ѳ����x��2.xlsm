
<file path=[Content_Types].xml><?xml version="1.0" encoding="utf-8"?>
<Types xmlns="http://schemas.openxmlformats.org/package/2006/content-types">
  <Default Extension="bin" ContentType="application/vnd.openxmlformats-officedocument.spreadsheetml.printerSettings"/>
  <Override PartName="/xl/queryTables/queryTable1.xml" ContentType="application/vnd.openxmlformats-officedocument.spreadsheetml.queryTable+xml"/>
  <Override PartName="/xl/queryTables/queryTable2.xml" ContentType="application/vnd.openxmlformats-officedocument.spreadsheetml.queryTable+xml"/>
  <Override PartName="/xl/theme/theme1.xml" ContentType="application/vnd.openxmlformats-officedocument.theme+xml"/>
  <Override PartName="/xl/styles.xml" ContentType="application/vnd.openxmlformats-officedocument.spreadsheetml.styles+xml"/>
  <Override PartName="/xl/charts/chart4.xml" ContentType="application/vnd.openxmlformats-officedocument.drawingml.chart+xml"/>
  <Override PartName="/xl/charts/chart5.xml" ContentType="application/vnd.openxmlformats-officedocument.drawingml.chart+xml"/>
  <Override PartName="/xl/charts/chart2.xml" ContentType="application/vnd.openxmlformats-officedocument.drawingml.chart+xml"/>
  <Override PartName="/xl/charts/chart3.xml" ContentType="application/vnd.openxmlformats-officedocument.drawingml.chart+xml"/>
  <Override PartName="/xl/vbaProject.bin" ContentType="application/vnd.ms-office.vbaProject"/>
  <Default Extension="rels" ContentType="application/vnd.openxmlformats-package.relationships+xml"/>
  <Default Extension="xml" ContentType="application/xml"/>
  <Override PartName="/xl/workbook.xml" ContentType="application/vnd.ms-excel.sheet.macroEnabled.main+xml"/>
  <Override PartName="/xl/charts/chart1.xml" ContentType="application/vnd.openxmlformats-officedocument.drawingml.chart+xml"/>
  <Override PartName="/docProps/app.xml" ContentType="application/vnd.openxmlformats-officedocument.extended-properties+xml"/>
  <Override PartName="/xl/worksheets/sheet2.xml" ContentType="application/vnd.openxmlformats-officedocument.spreadsheetml.worksheet+xml"/>
  <Override PartName="/xl/worksheets/sheet3.xml" ContentType="application/vnd.openxmlformats-officedocument.spreadsheetml.worksheet+xml"/>
  <Override PartName="/xl/connections.xml" ContentType="application/vnd.openxmlformats-officedocument.spreadsheetml.connections+xml"/>
  <Override PartName="/xl/drawings/drawing1.xml" ContentType="application/vnd.openxmlformats-officedocument.drawing+xml"/>
  <Override PartName="/xl/comments2.xml" ContentType="application/vnd.openxmlformats-officedocument.spreadsheetml.comments+xml"/>
  <Override PartName="/xl/worksheets/sheet1.xml" ContentType="application/vnd.openxmlformats-officedocument.spreadsheetml.worksheet+xml"/>
  <Default Extension="vml" ContentType="application/vnd.openxmlformats-officedocument.vmlDrawing"/>
  <Override PartName="/xl/comments1.xml" ContentType="application/vnd.openxmlformats-officedocument.spreadsheetml.comments+xml"/>
  <Override PartName="/xl/calcChain.xml" ContentType="application/vnd.openxmlformats-officedocument.spreadsheetml.calcChain+xml"/>
  <Override PartName="/xl/sharedStrings.xml" ContentType="application/vnd.openxmlformats-officedocument.spreadsheetml.sharedStrings+xml"/>
  <Override PartName="/xl/queryTables/queryTable5.xml" ContentType="application/vnd.openxmlformats-officedocument.spreadsheetml.queryTable+xml"/>
  <Override PartName="/xl/queryTables/queryTable3.xml" ContentType="application/vnd.openxmlformats-officedocument.spreadsheetml.queryTable+xml"/>
  <Override PartName="/xl/queryTables/queryTable4.xml" ContentType="application/vnd.openxmlformats-officedocument.spreadsheetml.queryTable+xml"/>
  <Override PartName="/docProps/core.xml" ContentType="application/vnd.openxmlformats-package.core-properties+xml"/>
</Types>
</file>

<file path=_rels/.rels><?xml version="1.0" encoding="UTF-8" standalone="yes"?>
<Relationships xmlns="http://schemas.openxmlformats.org/package/2006/relationships"><Relationship Id="rId3" Type="http://schemas.openxmlformats.org/officeDocument/2006/relationships/extended-properties" Target="docProps/app.xml"/><Relationship Id="rId2" Type="http://schemas.openxmlformats.org/package/2006/relationships/metadata/core-properties" Target="docProps/core.xml"/><Relationship Id="rId1" Type="http://schemas.openxmlformats.org/officeDocument/2006/relationships/officeDocument" Target="xl/workbook.xml"/></Relationships>
</file>

<file path=xl/workbook.xml><?xml version="1.0" encoding="utf-8"?>
<workbook xmlns="http://schemas.openxmlformats.org/spreadsheetml/2006/main" xmlns:r="http://schemas.openxmlformats.org/officeDocument/2006/relationships">
  <fileVersion appName="xl" lastEdited="4" lowestEdited="4" rupBuild="4506" codeName="{B7FE6334-C1A2-E50D-BD3D-5F4D41BBC2E3}"/>
  <workbookPr codeName="ThisWorkbook" defaultThemeVersion="124226"/>
  <bookViews>
    <workbookView xWindow="480" yWindow="132" windowWidth="14832" windowHeight="5604" firstSheet="1" activeTab="1"/>
  </bookViews>
  <sheets>
    <sheet name="可扣抵稅率比率表" sheetId="4" r:id="rId1"/>
    <sheet name="總覽表" sheetId="1" r:id="rId2"/>
    <sheet name="台積電" sheetId="5" r:id="rId3"/>
  </sheets>
  <definedNames>
    <definedName name="_xlnm._FilterDatabase" localSheetId="1" hidden="1">總覽表!$C$9:$G$9</definedName>
    <definedName name="company_2330" localSheetId="2">台積電!$AN$2:$AS$28</definedName>
    <definedName name="dividend_2330" localSheetId="2">台積電!$T$2:$Y$12</definedName>
    <definedName name="q?s_2330_1" localSheetId="2">台積電!$AA$4:$AL$11</definedName>
    <definedName name="q?s_2330_2" localSheetId="2">台積電!$AA$2:$AB$3</definedName>
    <definedName name="zca_2330.djhtm" localSheetId="2">台積電!$AU$2:$BC$34</definedName>
  </definedNames>
  <calcPr calcId="125725"/>
</workbook>
</file>

<file path=xl/calcChain.xml><?xml version="1.0" encoding="utf-8"?>
<calcChain xmlns="http://schemas.openxmlformats.org/spreadsheetml/2006/main">
  <c r="D6" i="5"/>
  <c r="R10" i="1" s="1"/>
  <c r="D2" i="5"/>
  <c r="F10" i="1" s="1"/>
  <c r="AB13" i="5"/>
  <c r="A26"/>
  <c r="B26"/>
  <c r="B37" s="1"/>
  <c r="A27"/>
  <c r="B27"/>
  <c r="D27" s="1"/>
  <c r="A28"/>
  <c r="B28"/>
  <c r="D28" s="1"/>
  <c r="A29"/>
  <c r="B29"/>
  <c r="D29" s="1"/>
  <c r="A30"/>
  <c r="B30"/>
  <c r="D30" s="1"/>
  <c r="C27"/>
  <c r="C36" s="1"/>
  <c r="C11" s="1"/>
  <c r="C28"/>
  <c r="C29"/>
  <c r="C30"/>
  <c r="A31"/>
  <c r="A32" s="1"/>
  <c r="K4"/>
  <c r="J4"/>
  <c r="I4"/>
  <c r="I5" s="1"/>
  <c r="C26"/>
  <c r="C31"/>
  <c r="D1"/>
  <c r="C37"/>
  <c r="D11" s="1"/>
  <c r="K12"/>
  <c r="K13" s="1"/>
  <c r="J12"/>
  <c r="J13"/>
  <c r="I12"/>
  <c r="I13"/>
  <c r="F8"/>
  <c r="Q10" i="1"/>
  <c r="F7" i="5"/>
  <c r="P10" i="1"/>
  <c r="F2" i="5"/>
  <c r="L10" i="1"/>
  <c r="F5" i="5"/>
  <c r="N10" i="1"/>
  <c r="F4" i="5"/>
  <c r="M10" i="1"/>
  <c r="F1" i="5"/>
  <c r="K10" i="1"/>
  <c r="I30" i="5"/>
  <c r="H30"/>
  <c r="I29"/>
  <c r="H29"/>
  <c r="I28"/>
  <c r="H28"/>
  <c r="I27"/>
  <c r="H27"/>
  <c r="H26"/>
  <c r="I24"/>
  <c r="H24"/>
  <c r="I23"/>
  <c r="H23"/>
  <c r="I22"/>
  <c r="H22"/>
  <c r="I21"/>
  <c r="H21"/>
  <c r="H20"/>
  <c r="F6"/>
  <c r="O10" i="1" s="1"/>
  <c r="B11" i="5"/>
  <c r="B8"/>
  <c r="A8"/>
  <c r="B7"/>
  <c r="A7"/>
  <c r="B6"/>
  <c r="A6"/>
  <c r="J5"/>
  <c r="D5"/>
  <c r="C5"/>
  <c r="B5"/>
  <c r="A5"/>
  <c r="D4"/>
  <c r="C4"/>
  <c r="B4"/>
  <c r="A4"/>
  <c r="E3"/>
  <c r="A3"/>
  <c r="B2"/>
  <c r="D10" i="1" s="1"/>
  <c r="E9"/>
  <c r="K5" i="5"/>
  <c r="B10"/>
  <c r="B12"/>
  <c r="E10" i="1"/>
  <c r="B36" i="5"/>
  <c r="I6" s="1"/>
  <c r="J6"/>
  <c r="C10"/>
  <c r="B32" l="1"/>
  <c r="A33"/>
  <c r="C32"/>
  <c r="I7"/>
  <c r="G10" i="1"/>
  <c r="K7" i="5"/>
  <c r="D10"/>
  <c r="J7"/>
  <c r="K6"/>
  <c r="B31"/>
  <c r="D26"/>
  <c r="D31" l="1"/>
  <c r="H10" i="1"/>
  <c r="J10"/>
  <c r="I10"/>
  <c r="D36" i="5"/>
  <c r="D37"/>
  <c r="B33"/>
  <c r="A34"/>
  <c r="C33"/>
  <c r="D32"/>
  <c r="A35" l="1"/>
  <c r="C34"/>
  <c r="B34"/>
  <c r="J15"/>
  <c r="D12"/>
  <c r="K15"/>
  <c r="I15"/>
  <c r="K14"/>
  <c r="I14"/>
  <c r="J14"/>
  <c r="C12"/>
  <c r="D33"/>
  <c r="D34" l="1"/>
  <c r="C35"/>
  <c r="C39" s="1"/>
  <c r="F11" s="1"/>
  <c r="B35"/>
  <c r="D35" s="1"/>
  <c r="D38" s="1"/>
  <c r="B38"/>
  <c r="C38"/>
  <c r="E11" s="1"/>
  <c r="D39"/>
  <c r="F12" s="1"/>
  <c r="J16" l="1"/>
  <c r="I16"/>
  <c r="K16"/>
  <c r="E12"/>
  <c r="E10"/>
  <c r="J8"/>
  <c r="K8"/>
  <c r="I8"/>
  <c r="B39"/>
  <c r="F10" s="1"/>
</calcChain>
</file>

<file path=xl/comments1.xml><?xml version="1.0" encoding="utf-8"?>
<comments xmlns="http://schemas.openxmlformats.org/spreadsheetml/2006/main">
  <authors>
    <author>tenyo</author>
  </authors>
  <commentList>
    <comment ref="R3" authorId="0">
      <text>
        <r>
          <rPr>
            <b/>
            <sz val="9"/>
            <color indexed="81"/>
            <rFont val="Tahoma"/>
            <family val="2"/>
          </rPr>
          <t>LV520:</t>
        </r>
        <r>
          <rPr>
            <sz val="9"/>
            <color indexed="81"/>
            <rFont val="Tahoma"/>
            <family val="2"/>
          </rPr>
          <t xml:space="preserve">
1.</t>
        </r>
        <r>
          <rPr>
            <sz val="9"/>
            <color indexed="81"/>
            <rFont val="細明體"/>
            <family val="3"/>
            <charset val="136"/>
          </rPr>
          <t>股利計入個人綜所稅，係以總額計入</t>
        </r>
        <r>
          <rPr>
            <sz val="9"/>
            <color indexed="81"/>
            <rFont val="Tahoma"/>
            <family val="2"/>
          </rPr>
          <t xml:space="preserve"> </t>
        </r>
        <r>
          <rPr>
            <sz val="9"/>
            <color indexed="81"/>
            <rFont val="細明體"/>
            <family val="3"/>
            <charset val="136"/>
          </rPr>
          <t>如一股配</t>
        </r>
        <r>
          <rPr>
            <sz val="9"/>
            <color indexed="81"/>
            <rFont val="Tahoma"/>
            <family val="2"/>
          </rPr>
          <t>5</t>
        </r>
        <r>
          <rPr>
            <sz val="9"/>
            <color indexed="81"/>
            <rFont val="細明體"/>
            <family val="3"/>
            <charset val="136"/>
          </rPr>
          <t>元現金股利</t>
        </r>
        <r>
          <rPr>
            <sz val="9"/>
            <color indexed="81"/>
            <rFont val="Tahoma"/>
            <family val="2"/>
          </rPr>
          <t>*1000(</t>
        </r>
        <r>
          <rPr>
            <sz val="9"/>
            <color indexed="81"/>
            <rFont val="細明體"/>
            <family val="3"/>
            <charset val="136"/>
          </rPr>
          <t>若可扣抵比率</t>
        </r>
        <r>
          <rPr>
            <sz val="9"/>
            <color indexed="81"/>
            <rFont val="Tahoma"/>
            <family val="2"/>
          </rPr>
          <t>25%)</t>
        </r>
        <r>
          <rPr>
            <sz val="9"/>
            <color indexed="81"/>
            <rFont val="細明體"/>
            <family val="3"/>
            <charset val="136"/>
          </rPr>
          <t>故一張股票所領之股利計入個人綜所稅為</t>
        </r>
        <r>
          <rPr>
            <sz val="9"/>
            <color indexed="81"/>
            <rFont val="Tahoma"/>
            <family val="2"/>
          </rPr>
          <t xml:space="preserve">5000+1250=6250  </t>
        </r>
        <r>
          <rPr>
            <sz val="9"/>
            <color indexed="81"/>
            <rFont val="細明體"/>
            <family val="3"/>
            <charset val="136"/>
          </rPr>
          <t>若稅率為</t>
        </r>
        <r>
          <rPr>
            <sz val="9"/>
            <color indexed="81"/>
            <rFont val="Tahoma"/>
            <family val="2"/>
          </rPr>
          <t>5%</t>
        </r>
        <r>
          <rPr>
            <sz val="9"/>
            <color indexed="81"/>
            <rFont val="細明體"/>
            <family val="3"/>
            <charset val="136"/>
          </rPr>
          <t>稅額</t>
        </r>
        <r>
          <rPr>
            <sz val="9"/>
            <color indexed="81"/>
            <rFont val="Tahoma"/>
            <family val="2"/>
          </rPr>
          <t xml:space="preserve">=312   </t>
        </r>
        <r>
          <rPr>
            <sz val="9"/>
            <color indexed="81"/>
            <rFont val="細明體"/>
            <family val="3"/>
            <charset val="136"/>
          </rPr>
          <t>應退稅額</t>
        </r>
        <r>
          <rPr>
            <sz val="9"/>
            <color indexed="81"/>
            <rFont val="Tahoma"/>
            <family val="2"/>
          </rPr>
          <t>=1250-312=938   
2.</t>
        </r>
        <r>
          <rPr>
            <sz val="9"/>
            <color indexed="81"/>
            <rFont val="細明體"/>
            <family val="3"/>
            <charset val="136"/>
          </rPr>
          <t>因</t>
        </r>
        <r>
          <rPr>
            <sz val="9"/>
            <color indexed="81"/>
            <rFont val="Tahoma"/>
            <family val="2"/>
          </rPr>
          <t>99</t>
        </r>
        <r>
          <rPr>
            <sz val="9"/>
            <color indexed="81"/>
            <rFont val="細明體"/>
            <family val="3"/>
            <charset val="136"/>
          </rPr>
          <t>年度開始公司營所稅已從</t>
        </r>
        <r>
          <rPr>
            <sz val="9"/>
            <color indexed="81"/>
            <rFont val="Tahoma"/>
            <family val="2"/>
          </rPr>
          <t>25%</t>
        </r>
        <r>
          <rPr>
            <sz val="9"/>
            <color indexed="81"/>
            <rFont val="細明體"/>
            <family val="3"/>
            <charset val="136"/>
          </rPr>
          <t>降至</t>
        </r>
        <r>
          <rPr>
            <sz val="9"/>
            <color indexed="81"/>
            <rFont val="Tahoma"/>
            <family val="2"/>
          </rPr>
          <t xml:space="preserve">17% </t>
        </r>
        <r>
          <rPr>
            <sz val="9"/>
            <color indexed="81"/>
            <rFont val="細明體"/>
            <family val="3"/>
            <charset val="136"/>
          </rPr>
          <t>故可扣抵比例會下修</t>
        </r>
      </text>
    </comment>
    <comment ref="E10" authorId="0">
      <text>
        <r>
          <rPr>
            <sz val="9"/>
            <color indexed="81"/>
            <rFont val="新細明體"/>
            <family val="1"/>
            <charset val="136"/>
          </rPr>
          <t>AKA附註:
以5年平均現金股利除以現價之殖利率為3.79066%</t>
        </r>
      </text>
    </comment>
  </commentList>
</comments>
</file>

<file path=xl/comments2.xml><?xml version="1.0" encoding="utf-8"?>
<comments xmlns="http://schemas.openxmlformats.org/spreadsheetml/2006/main">
  <authors>
    <author>tenyo</author>
  </authors>
  <commentList>
    <comment ref="H4" authorId="0">
      <text>
        <r>
          <rPr>
            <b/>
            <sz val="9"/>
            <color indexed="81"/>
            <rFont val="新細明體"/>
            <family val="1"/>
            <charset val="136"/>
          </rPr>
          <t>tenyo:</t>
        </r>
        <r>
          <rPr>
            <sz val="9"/>
            <color indexed="81"/>
            <rFont val="新細明體"/>
            <family val="1"/>
            <charset val="136"/>
          </rPr>
          <t xml:space="preserve">
 預設值為1,風險越高的個股,係數應設為越低,如0.8</t>
        </r>
      </text>
    </comment>
    <comment ref="D6" authorId="0">
      <text>
        <r>
          <rPr>
            <b/>
            <sz val="9"/>
            <color indexed="81"/>
            <rFont val="新細明體"/>
            <family val="1"/>
            <charset val="136"/>
          </rPr>
          <t>AKA 附註:</t>
        </r>
        <r>
          <rPr>
            <sz val="9"/>
            <color indexed="81"/>
            <rFont val="新細明體"/>
            <family val="1"/>
            <charset val="136"/>
          </rPr>
          <t xml:space="preserve">
此為2011年參考資料, 歷年比率可能變動
</t>
        </r>
      </text>
    </comment>
    <comment ref="F12" authorId="0">
      <text>
        <r>
          <rPr>
            <b/>
            <sz val="9"/>
            <color indexed="81"/>
            <rFont val="新細明體"/>
            <family val="1"/>
            <charset val="136"/>
          </rPr>
          <t>AKA附註:</t>
        </r>
        <r>
          <rPr>
            <sz val="9"/>
            <color indexed="81"/>
            <rFont val="新細明體"/>
            <family val="1"/>
            <charset val="136"/>
          </rPr>
          <t xml:space="preserve">
現金股利為0的當年,股票股利不一定為0,同理,股票股利為0,現金股利可能不為0,所以合計值可能會大於0。</t>
        </r>
      </text>
    </comment>
    <comment ref="H12" authorId="0">
      <text>
        <r>
          <rPr>
            <b/>
            <sz val="9"/>
            <color indexed="81"/>
            <rFont val="新細明體"/>
            <family val="1"/>
            <charset val="136"/>
          </rPr>
          <t>tenyo:</t>
        </r>
        <r>
          <rPr>
            <sz val="9"/>
            <color indexed="81"/>
            <rFont val="新細明體"/>
            <family val="1"/>
            <charset val="136"/>
          </rPr>
          <t xml:space="preserve">
 預設值為1,風險越高的個股,係數應設為越低,如0.8</t>
        </r>
      </text>
    </comment>
  </commentList>
</comments>
</file>

<file path=xl/connections.xml><?xml version="1.0" encoding="utf-8"?>
<connections xmlns="http://schemas.openxmlformats.org/spreadsheetml/2006/main">
  <connection id="1" name="連線" type="4" refreshedVersion="2" background="1" saveData="1">
    <webPr sourceData="1" parsePre="1" consecutive="1" xl2000="1" url="http://tw.stock.yahoo.com/d/s/dividend_2330.html" htmlTables="1">
      <tables count="1">
        <x v="9"/>
      </tables>
    </webPr>
  </connection>
  <connection id="2" name="連線1" type="4" refreshedVersion="2" background="1" saveData="1">
    <webPr sourceData="1" parsePre="1" consecutive="1" xl2000="1" url="http://tw.stock.yahoo.com/d/s/company_2330.html" htmlTables="1">
      <tables count="4">
        <x v="7"/>
        <x v="8"/>
        <x v="9"/>
        <x v="10"/>
      </tables>
    </webPr>
  </connection>
  <connection id="3" name="連線2" type="4" refreshedVersion="2" background="1" saveData="1">
    <webPr sourceData="1" parsePre="1" consecutive="1" xl2000="1" url="http://money.hinet.net/z/zc/zca/zca_2330.djhtm" htmlTables="1">
      <tables count="1">
        <x v="3"/>
      </tables>
    </webPr>
  </connection>
  <connection id="4" name="連線3" type="4" refreshedVersion="2" background="1" saveData="1">
    <webPr sourceData="1" parsePre="1" consecutive="1" xl2000="1" url="http://tw.stock.yahoo.com/q/q?s=2330" htmlTables="1">
      <tables count="1">
        <x v="6"/>
      </tables>
    </webPr>
  </connection>
  <connection id="5" name="連線4" type="4" refreshedVersion="2" background="1" saveData="1">
    <webPr sourceData="1" parsePre="1" consecutive="1" xl2000="1" url="http://tw.stock.yahoo.com/q/q?s=2330" htmlTables="1">
      <tables count="1">
        <x v="4"/>
      </tables>
    </webPr>
  </connection>
</connections>
</file>

<file path=xl/sharedStrings.xml><?xml version="1.0" encoding="utf-8"?>
<sst xmlns="http://schemas.openxmlformats.org/spreadsheetml/2006/main" count="1294" uniqueCount="1218">
  <si>
    <t>2011年各上市櫃企業可扣抵稅額比率表</t>
  </si>
  <si>
    <t>http://www.wowgood.org/2011/04/2011.html</t>
  </si>
  <si>
    <t xml:space="preserve">星期六, 四月 02, 2011 張貼者： H.W </t>
  </si>
  <si>
    <t>股票名稱</t>
  </si>
  <si>
    <t>可扣抵率</t>
  </si>
  <si>
    <t>配息</t>
  </si>
  <si>
    <t>配股</t>
  </si>
  <si>
    <t>總股利</t>
  </si>
  <si>
    <t>5%稅省$</t>
  </si>
  <si>
    <t>12%稅省$</t>
  </si>
  <si>
    <t>20%稅省$</t>
  </si>
  <si>
    <t>台泥</t>
  </si>
  <si>
    <t>亞泥</t>
  </si>
  <si>
    <t>嘉泥</t>
  </si>
  <si>
    <t>環泥</t>
  </si>
  <si>
    <t>信大</t>
  </si>
  <si>
    <t>東泥</t>
  </si>
  <si>
    <t>味全</t>
  </si>
  <si>
    <t>味王</t>
  </si>
  <si>
    <t>大成</t>
  </si>
  <si>
    <t>卜蜂</t>
  </si>
  <si>
    <t>統一</t>
  </si>
  <si>
    <t>泰山</t>
  </si>
  <si>
    <t>福壽</t>
  </si>
  <si>
    <t>福懋油</t>
  </si>
  <si>
    <t>佳格</t>
  </si>
  <si>
    <t>聯華</t>
  </si>
  <si>
    <t>聯華食</t>
  </si>
  <si>
    <t>大統益</t>
  </si>
  <si>
    <t>天仁</t>
  </si>
  <si>
    <t>黑松</t>
  </si>
  <si>
    <t>興泰</t>
  </si>
  <si>
    <t>宏亞</t>
  </si>
  <si>
    <t>台塑</t>
  </si>
  <si>
    <t>南亞</t>
  </si>
  <si>
    <t>台聚</t>
  </si>
  <si>
    <t>三芳</t>
  </si>
  <si>
    <t>亞聚</t>
  </si>
  <si>
    <t>台達化</t>
  </si>
  <si>
    <t>國喬</t>
  </si>
  <si>
    <t>聯成化</t>
  </si>
  <si>
    <t>中石化</t>
  </si>
  <si>
    <t>達新</t>
  </si>
  <si>
    <t>東陽</t>
  </si>
  <si>
    <t>永裕</t>
  </si>
  <si>
    <t>地球</t>
  </si>
  <si>
    <t>恆大</t>
  </si>
  <si>
    <t>台化</t>
  </si>
  <si>
    <t>台翰</t>
  </si>
  <si>
    <t>遠東新</t>
  </si>
  <si>
    <t>新纖</t>
  </si>
  <si>
    <t>南染</t>
  </si>
  <si>
    <t>廣豐</t>
  </si>
  <si>
    <t>新光紡</t>
  </si>
  <si>
    <t>福懋興</t>
  </si>
  <si>
    <t>福益</t>
  </si>
  <si>
    <t>勤益</t>
  </si>
  <si>
    <t>中和</t>
  </si>
  <si>
    <t>南紡</t>
  </si>
  <si>
    <t>名軒</t>
  </si>
  <si>
    <t>力麗</t>
  </si>
  <si>
    <t>大宇</t>
  </si>
  <si>
    <t>力鵬</t>
  </si>
  <si>
    <t>年興</t>
  </si>
  <si>
    <t>宏益纖</t>
  </si>
  <si>
    <t>大將</t>
  </si>
  <si>
    <t>台富</t>
  </si>
  <si>
    <t>集 盛</t>
  </si>
  <si>
    <t>宜進實</t>
  </si>
  <si>
    <t>聯發</t>
  </si>
  <si>
    <t>得力</t>
  </si>
  <si>
    <t>偉全</t>
  </si>
  <si>
    <t>聚隆</t>
  </si>
  <si>
    <t>大統染</t>
  </si>
  <si>
    <t>台南</t>
  </si>
  <si>
    <t>弘裕</t>
  </si>
  <si>
    <t>儒鴻</t>
  </si>
  <si>
    <t>聚陽</t>
  </si>
  <si>
    <t>士電</t>
  </si>
  <si>
    <t>東元</t>
  </si>
  <si>
    <t>永大</t>
  </si>
  <si>
    <t>瑞利</t>
  </si>
  <si>
    <t>中興電</t>
  </si>
  <si>
    <t>亞力</t>
  </si>
  <si>
    <t>利奇</t>
  </si>
  <si>
    <t>華城</t>
  </si>
  <si>
    <t>大億</t>
  </si>
  <si>
    <t>堤維西</t>
  </si>
  <si>
    <t>江申</t>
  </si>
  <si>
    <t>恩德</t>
  </si>
  <si>
    <t>亞崴</t>
  </si>
  <si>
    <t>高林股</t>
  </si>
  <si>
    <t>勤美</t>
  </si>
  <si>
    <t>中宇</t>
  </si>
  <si>
    <t>廣隆</t>
  </si>
  <si>
    <t>喬福</t>
  </si>
  <si>
    <t>伸興</t>
  </si>
  <si>
    <t>中砂</t>
  </si>
  <si>
    <t>精華</t>
  </si>
  <si>
    <t>毅金</t>
  </si>
  <si>
    <t>濱川</t>
  </si>
  <si>
    <t>新麥</t>
  </si>
  <si>
    <t>信錦</t>
  </si>
  <si>
    <t>程泰</t>
  </si>
  <si>
    <t>精剛</t>
  </si>
  <si>
    <t>AIRTAC</t>
  </si>
  <si>
    <t>聲寶</t>
  </si>
  <si>
    <t>華新</t>
  </si>
  <si>
    <t>華榮</t>
  </si>
  <si>
    <t>大亞</t>
  </si>
  <si>
    <t>中電</t>
  </si>
  <si>
    <t>宏泰</t>
  </si>
  <si>
    <t>三洋電</t>
  </si>
  <si>
    <t>大山</t>
  </si>
  <si>
    <t>榮星</t>
  </si>
  <si>
    <t>合機</t>
  </si>
  <si>
    <t>中化</t>
  </si>
  <si>
    <t>南僑</t>
  </si>
  <si>
    <t>榮化</t>
  </si>
  <si>
    <t>葡萄王</t>
  </si>
  <si>
    <t>東鹼</t>
  </si>
  <si>
    <t>和益</t>
  </si>
  <si>
    <t>東聯</t>
  </si>
  <si>
    <t>永光</t>
  </si>
  <si>
    <t>興農</t>
  </si>
  <si>
    <t>國化</t>
  </si>
  <si>
    <t>和桐</t>
  </si>
  <si>
    <t>亞化</t>
  </si>
  <si>
    <t>長興</t>
  </si>
  <si>
    <t>生達</t>
  </si>
  <si>
    <t>台肥</t>
  </si>
  <si>
    <t>中碳</t>
  </si>
  <si>
    <t>台硝</t>
  </si>
  <si>
    <t>元禎</t>
  </si>
  <si>
    <t>永記</t>
  </si>
  <si>
    <t>中華化</t>
  </si>
  <si>
    <t>花仙子</t>
  </si>
  <si>
    <t>美吾華</t>
  </si>
  <si>
    <t>毛寶</t>
  </si>
  <si>
    <t>五鼎</t>
  </si>
  <si>
    <t>杏輝</t>
  </si>
  <si>
    <t>日勝化</t>
  </si>
  <si>
    <t>喬山</t>
  </si>
  <si>
    <t>台鹽</t>
  </si>
  <si>
    <t>台蠟</t>
  </si>
  <si>
    <t>中化生</t>
  </si>
  <si>
    <t>勝一</t>
  </si>
  <si>
    <t>生泰</t>
  </si>
  <si>
    <t>光洋科</t>
  </si>
  <si>
    <t>福盈科</t>
  </si>
  <si>
    <t>杏昌</t>
  </si>
  <si>
    <t>美時化</t>
  </si>
  <si>
    <t>台玻</t>
  </si>
  <si>
    <t>冠軍</t>
  </si>
  <si>
    <t>國賓大</t>
  </si>
  <si>
    <t>中釉</t>
  </si>
  <si>
    <t>富喬</t>
  </si>
  <si>
    <t>台紙</t>
  </si>
  <si>
    <t>正隆</t>
  </si>
  <si>
    <t>華紙</t>
  </si>
  <si>
    <t>永豐餘</t>
  </si>
  <si>
    <t>榮成</t>
  </si>
  <si>
    <t>中鋼</t>
  </si>
  <si>
    <t>東鋼</t>
  </si>
  <si>
    <t>燁興</t>
  </si>
  <si>
    <t>第一銅</t>
  </si>
  <si>
    <t>春源</t>
  </si>
  <si>
    <t>中鋼構</t>
  </si>
  <si>
    <t>中鴻</t>
  </si>
  <si>
    <t>豐興鋼</t>
  </si>
  <si>
    <t>美亞鋼</t>
  </si>
  <si>
    <t>燁輝</t>
  </si>
  <si>
    <t>大成鋼</t>
  </si>
  <si>
    <t>盛餘</t>
  </si>
  <si>
    <t>新光鋼</t>
  </si>
  <si>
    <t>新鋼</t>
  </si>
  <si>
    <t>佳大</t>
  </si>
  <si>
    <t>允強</t>
  </si>
  <si>
    <t>海光</t>
  </si>
  <si>
    <t>上銀科</t>
  </si>
  <si>
    <t>川湖</t>
  </si>
  <si>
    <t>風青</t>
  </si>
  <si>
    <t>橋樁</t>
  </si>
  <si>
    <t>世鎧</t>
  </si>
  <si>
    <t>南港</t>
  </si>
  <si>
    <t>泰豐</t>
  </si>
  <si>
    <t>台橡</t>
  </si>
  <si>
    <t>中橡</t>
  </si>
  <si>
    <t>正新</t>
  </si>
  <si>
    <t>建大</t>
  </si>
  <si>
    <t>厚生</t>
  </si>
  <si>
    <t>南帝</t>
  </si>
  <si>
    <t>鑫永銓</t>
  </si>
  <si>
    <t>裕隆</t>
  </si>
  <si>
    <t>中華</t>
  </si>
  <si>
    <t>三陽</t>
  </si>
  <si>
    <t>和泰車</t>
  </si>
  <si>
    <t>台船</t>
  </si>
  <si>
    <t>裕日車</t>
  </si>
  <si>
    <t>為升</t>
  </si>
  <si>
    <t>光寶科</t>
  </si>
  <si>
    <t>麗正</t>
  </si>
  <si>
    <t>聯電</t>
  </si>
  <si>
    <t>台達電</t>
  </si>
  <si>
    <t>日月光</t>
  </si>
  <si>
    <t>金寶</t>
  </si>
  <si>
    <t>神達</t>
  </si>
  <si>
    <t>鴻海</t>
  </si>
  <si>
    <t>仁寶</t>
  </si>
  <si>
    <t>矽品</t>
  </si>
  <si>
    <t>國巨</t>
  </si>
  <si>
    <t>廣宇</t>
  </si>
  <si>
    <t>台積電</t>
  </si>
  <si>
    <t>友訊</t>
  </si>
  <si>
    <t>旺宏</t>
  </si>
  <si>
    <t>光罩</t>
  </si>
  <si>
    <t>光磊</t>
  </si>
  <si>
    <t>智邦</t>
  </si>
  <si>
    <t>聯強</t>
  </si>
  <si>
    <t>順德</t>
  </si>
  <si>
    <t>佳世達</t>
  </si>
  <si>
    <t>宏碁</t>
  </si>
  <si>
    <t>鴻準</t>
  </si>
  <si>
    <t>敬鵬</t>
  </si>
  <si>
    <t>英業達</t>
  </si>
  <si>
    <t>華碩</t>
  </si>
  <si>
    <t>所羅門</t>
  </si>
  <si>
    <t>致茂</t>
  </si>
  <si>
    <t>藍天</t>
  </si>
  <si>
    <t>矽統</t>
  </si>
  <si>
    <t>昆盈</t>
  </si>
  <si>
    <t>燿華</t>
  </si>
  <si>
    <t>金像</t>
  </si>
  <si>
    <t>菱生</t>
  </si>
  <si>
    <t>震旦行</t>
  </si>
  <si>
    <t>佳能</t>
  </si>
  <si>
    <t>技嘉</t>
  </si>
  <si>
    <t>微星</t>
  </si>
  <si>
    <t>瑞昱</t>
  </si>
  <si>
    <t>虹光</t>
  </si>
  <si>
    <t>廣達</t>
  </si>
  <si>
    <t>台光電</t>
  </si>
  <si>
    <t>勝華</t>
  </si>
  <si>
    <t>群光</t>
  </si>
  <si>
    <t>精元</t>
  </si>
  <si>
    <t>正崴</t>
  </si>
  <si>
    <t>億光</t>
  </si>
  <si>
    <t>研華</t>
  </si>
  <si>
    <t>友通</t>
  </si>
  <si>
    <t>映泰</t>
  </si>
  <si>
    <t>凌陽</t>
  </si>
  <si>
    <t>漢唐</t>
  </si>
  <si>
    <t>國碩</t>
  </si>
  <si>
    <t>友達</t>
  </si>
  <si>
    <t>中華電</t>
  </si>
  <si>
    <t>環科</t>
  </si>
  <si>
    <t>精技</t>
  </si>
  <si>
    <t>圓剛</t>
  </si>
  <si>
    <t>仲琦</t>
  </si>
  <si>
    <t>新巨</t>
  </si>
  <si>
    <t>建準</t>
  </si>
  <si>
    <t>固緯</t>
  </si>
  <si>
    <t>鼎元</t>
  </si>
  <si>
    <t>興勤</t>
  </si>
  <si>
    <t>燦坤</t>
  </si>
  <si>
    <t>聯昌</t>
  </si>
  <si>
    <t>互盛電</t>
  </si>
  <si>
    <t>偉詮</t>
  </si>
  <si>
    <t>旺詮</t>
  </si>
  <si>
    <t>美律</t>
  </si>
  <si>
    <t>超豐</t>
  </si>
  <si>
    <t>新美齊</t>
  </si>
  <si>
    <t>晶電</t>
  </si>
  <si>
    <t>京元電</t>
  </si>
  <si>
    <t>神腦</t>
  </si>
  <si>
    <t>創見</t>
  </si>
  <si>
    <t>聯發科</t>
  </si>
  <si>
    <t>全新</t>
  </si>
  <si>
    <t>奇力新</t>
  </si>
  <si>
    <t>飛宏</t>
  </si>
  <si>
    <t>義隆電</t>
  </si>
  <si>
    <t>敦吉</t>
  </si>
  <si>
    <t>建通</t>
  </si>
  <si>
    <t>光群雷</t>
  </si>
  <si>
    <t>良得</t>
  </si>
  <si>
    <t>盟立</t>
  </si>
  <si>
    <t>志聖</t>
  </si>
  <si>
    <t>華經</t>
  </si>
  <si>
    <t>資通</t>
  </si>
  <si>
    <t>立隆</t>
  </si>
  <si>
    <t>思源</t>
  </si>
  <si>
    <t>可成</t>
  </si>
  <si>
    <t>鉅祥</t>
  </si>
  <si>
    <t>美隆電</t>
  </si>
  <si>
    <t>大毅</t>
  </si>
  <si>
    <t>敦陽科</t>
  </si>
  <si>
    <t>強茂</t>
  </si>
  <si>
    <t>百容</t>
  </si>
  <si>
    <t>希華</t>
  </si>
  <si>
    <t>兆赫</t>
  </si>
  <si>
    <t>一詮</t>
  </si>
  <si>
    <t>漢平</t>
  </si>
  <si>
    <t>瑞軒</t>
  </si>
  <si>
    <t>揚博</t>
  </si>
  <si>
    <t>普安</t>
  </si>
  <si>
    <t>宏達電</t>
  </si>
  <si>
    <t>東貝</t>
  </si>
  <si>
    <t>國建</t>
  </si>
  <si>
    <t>國產</t>
  </si>
  <si>
    <t>全坤興</t>
  </si>
  <si>
    <t>太子</t>
  </si>
  <si>
    <t>龍邦</t>
  </si>
  <si>
    <t>中工</t>
  </si>
  <si>
    <t>新建</t>
  </si>
  <si>
    <t>冠德</t>
  </si>
  <si>
    <t>京城</t>
  </si>
  <si>
    <t>宏璟</t>
  </si>
  <si>
    <t>華建</t>
  </si>
  <si>
    <t>宏盛</t>
  </si>
  <si>
    <t>達欣</t>
  </si>
  <si>
    <t>宏普</t>
  </si>
  <si>
    <t>基泰</t>
  </si>
  <si>
    <t>櫻花建</t>
  </si>
  <si>
    <t>興富發</t>
  </si>
  <si>
    <t>皇翔</t>
  </si>
  <si>
    <t>根基</t>
  </si>
  <si>
    <t>日勝生</t>
  </si>
  <si>
    <t>華固</t>
  </si>
  <si>
    <t>綠意</t>
  </si>
  <si>
    <t>潤弘</t>
  </si>
  <si>
    <t>益航</t>
  </si>
  <si>
    <t>長榮海</t>
  </si>
  <si>
    <t>新興</t>
  </si>
  <si>
    <t>裕民</t>
  </si>
  <si>
    <t>榮運</t>
  </si>
  <si>
    <t>大榮</t>
  </si>
  <si>
    <t>陽明</t>
  </si>
  <si>
    <t>華航</t>
  </si>
  <si>
    <t>志信</t>
  </si>
  <si>
    <t>中國航</t>
  </si>
  <si>
    <t>萬海</t>
  </si>
  <si>
    <t>山隆</t>
  </si>
  <si>
    <t>台灣航</t>
  </si>
  <si>
    <t>長榮航</t>
  </si>
  <si>
    <t>台驊</t>
  </si>
  <si>
    <t>KY慧洋</t>
  </si>
  <si>
    <t>萬企</t>
  </si>
  <si>
    <t>華園</t>
  </si>
  <si>
    <t>國賓</t>
  </si>
  <si>
    <t>第一店</t>
  </si>
  <si>
    <t>晶華</t>
  </si>
  <si>
    <t>桃園店</t>
  </si>
  <si>
    <t>KY美食</t>
  </si>
  <si>
    <t>彰銀</t>
  </si>
  <si>
    <t>台中銀</t>
  </si>
  <si>
    <t>華票</t>
  </si>
  <si>
    <t>中壽</t>
  </si>
  <si>
    <t>台產</t>
  </si>
  <si>
    <t>台壽</t>
  </si>
  <si>
    <t>台企銀</t>
  </si>
  <si>
    <t>高雄銀</t>
  </si>
  <si>
    <t>台開</t>
  </si>
  <si>
    <t>遠東銀</t>
  </si>
  <si>
    <t>安泰銀</t>
  </si>
  <si>
    <t>新產</t>
  </si>
  <si>
    <t>中再保</t>
  </si>
  <si>
    <t>第一產</t>
  </si>
  <si>
    <t>寶來證</t>
  </si>
  <si>
    <t>統一證</t>
  </si>
  <si>
    <t>元富證</t>
  </si>
  <si>
    <t>華南金</t>
  </si>
  <si>
    <t>富邦金</t>
  </si>
  <si>
    <t>國泰金</t>
  </si>
  <si>
    <t>開發金</t>
  </si>
  <si>
    <t>玉山金</t>
  </si>
  <si>
    <t>元大金</t>
  </si>
  <si>
    <t>兆豐金</t>
  </si>
  <si>
    <t>台新金</t>
  </si>
  <si>
    <t>國票金</t>
  </si>
  <si>
    <t>永豐金</t>
  </si>
  <si>
    <t>中信金</t>
  </si>
  <si>
    <t>第一金</t>
  </si>
  <si>
    <t>欣欣</t>
  </si>
  <si>
    <t>遠東百</t>
  </si>
  <si>
    <t>匯僑</t>
  </si>
  <si>
    <t>三商行</t>
  </si>
  <si>
    <t>高林</t>
  </si>
  <si>
    <t>特力</t>
  </si>
  <si>
    <t>統領</t>
  </si>
  <si>
    <t>麗嬰房</t>
  </si>
  <si>
    <t>統一超</t>
  </si>
  <si>
    <t>農林</t>
  </si>
  <si>
    <t>潤泰全</t>
  </si>
  <si>
    <t>滿心</t>
  </si>
  <si>
    <t>歐格</t>
  </si>
  <si>
    <t>健和興</t>
  </si>
  <si>
    <t>神基</t>
  </si>
  <si>
    <t>晶豪科</t>
  </si>
  <si>
    <t>大立光</t>
  </si>
  <si>
    <t>華立</t>
  </si>
  <si>
    <t>晟銘</t>
  </si>
  <si>
    <t>聯陽</t>
  </si>
  <si>
    <t>全漢</t>
  </si>
  <si>
    <t>嘉晶</t>
  </si>
  <si>
    <t>奇鋐</t>
  </si>
  <si>
    <t>同開</t>
  </si>
  <si>
    <t>威達電</t>
  </si>
  <si>
    <t>信邦</t>
  </si>
  <si>
    <t>憶聲</t>
  </si>
  <si>
    <t>星通</t>
  </si>
  <si>
    <t>禾伸堂</t>
  </si>
  <si>
    <t>增你強</t>
  </si>
  <si>
    <t>零壹</t>
  </si>
  <si>
    <t>德律</t>
  </si>
  <si>
    <t>佰鴻</t>
  </si>
  <si>
    <t>偉訓</t>
  </si>
  <si>
    <t>威健</t>
  </si>
  <si>
    <t>聯詠</t>
  </si>
  <si>
    <t>智原</t>
  </si>
  <si>
    <t>文曄</t>
  </si>
  <si>
    <t>欣興</t>
  </si>
  <si>
    <t>遠見</t>
  </si>
  <si>
    <t>揚智</t>
  </si>
  <si>
    <t>晶技</t>
  </si>
  <si>
    <t>科風</t>
  </si>
  <si>
    <t>健鼎</t>
  </si>
  <si>
    <t>台灣大</t>
  </si>
  <si>
    <t>訊舟</t>
  </si>
  <si>
    <t>益登</t>
  </si>
  <si>
    <t>鈺德</t>
  </si>
  <si>
    <t>夆典</t>
  </si>
  <si>
    <t>萬國</t>
  </si>
  <si>
    <t>蔚華科</t>
  </si>
  <si>
    <t>立德</t>
  </si>
  <si>
    <t>華晶</t>
  </si>
  <si>
    <t>銘異</t>
  </si>
  <si>
    <t>璨圓</t>
  </si>
  <si>
    <t>建漢</t>
  </si>
  <si>
    <t>全域</t>
  </si>
  <si>
    <t>美磊</t>
  </si>
  <si>
    <t>僑威</t>
  </si>
  <si>
    <t>威力盟</t>
  </si>
  <si>
    <t>網龍</t>
  </si>
  <si>
    <t>艾訊</t>
  </si>
  <si>
    <t>展成</t>
  </si>
  <si>
    <t>日電貿</t>
  </si>
  <si>
    <t>鴻碩</t>
  </si>
  <si>
    <t>港建</t>
  </si>
  <si>
    <t>聯傑</t>
  </si>
  <si>
    <t>好德</t>
  </si>
  <si>
    <t>進階</t>
  </si>
  <si>
    <t>一零四</t>
  </si>
  <si>
    <t>弘塑</t>
  </si>
  <si>
    <t>璟德</t>
  </si>
  <si>
    <t>精確</t>
  </si>
  <si>
    <t>景岳</t>
  </si>
  <si>
    <t>亞信</t>
  </si>
  <si>
    <t>景碩</t>
  </si>
  <si>
    <t>樺晟</t>
  </si>
  <si>
    <t>志豐</t>
  </si>
  <si>
    <t>耀勝</t>
  </si>
  <si>
    <t>全科</t>
  </si>
  <si>
    <t>順達</t>
  </si>
  <si>
    <t>茂訊</t>
  </si>
  <si>
    <t>優群</t>
  </si>
  <si>
    <t>台嘉碩</t>
  </si>
  <si>
    <t>原相</t>
  </si>
  <si>
    <t>晟鈦</t>
  </si>
  <si>
    <t>緯創</t>
  </si>
  <si>
    <t>光環</t>
  </si>
  <si>
    <t>千如</t>
  </si>
  <si>
    <t>虹冠電</t>
  </si>
  <si>
    <t>欣銓</t>
  </si>
  <si>
    <t>台星科</t>
  </si>
  <si>
    <t>弘如洋</t>
  </si>
  <si>
    <t>太普高</t>
  </si>
  <si>
    <t>廣寰科</t>
  </si>
  <si>
    <t>宜特</t>
  </si>
  <si>
    <t>東浦</t>
  </si>
  <si>
    <t>遠翔科</t>
  </si>
  <si>
    <t>鈊象</t>
  </si>
  <si>
    <t>勝德</t>
  </si>
  <si>
    <t>杭特</t>
  </si>
  <si>
    <t>帛漢</t>
  </si>
  <si>
    <t>昇貿</t>
  </si>
  <si>
    <t>鼎天</t>
  </si>
  <si>
    <t>閎暉</t>
  </si>
  <si>
    <t>弘憶股</t>
  </si>
  <si>
    <t>宣昶</t>
  </si>
  <si>
    <t>尼克森</t>
  </si>
  <si>
    <t>加百裕</t>
  </si>
  <si>
    <t>旭品</t>
  </si>
  <si>
    <t>幸康</t>
  </si>
  <si>
    <t>泰谷</t>
  </si>
  <si>
    <t>律勝</t>
  </si>
  <si>
    <t>奇偶</t>
  </si>
  <si>
    <t>尚立</t>
  </si>
  <si>
    <t>上詮</t>
  </si>
  <si>
    <t>英華達</t>
  </si>
  <si>
    <t>熱映</t>
  </si>
  <si>
    <t>新日興</t>
  </si>
  <si>
    <t>明泰</t>
  </si>
  <si>
    <t>新世紀</t>
  </si>
  <si>
    <t>崇越電</t>
  </si>
  <si>
    <t>志遠</t>
  </si>
  <si>
    <t>旭軟</t>
  </si>
  <si>
    <t>漢科</t>
  </si>
  <si>
    <t>玉晶光</t>
  </si>
  <si>
    <t>融程電</t>
  </si>
  <si>
    <t>台端</t>
  </si>
  <si>
    <t>類比科</t>
  </si>
  <si>
    <t>聯一光</t>
  </si>
  <si>
    <t>創意</t>
  </si>
  <si>
    <t>利機</t>
  </si>
  <si>
    <t>聯鈞</t>
  </si>
  <si>
    <t>晶睿</t>
  </si>
  <si>
    <t>由田</t>
  </si>
  <si>
    <t>致振</t>
  </si>
  <si>
    <t>安勤</t>
  </si>
  <si>
    <t>力致</t>
  </si>
  <si>
    <t>崧騰</t>
  </si>
  <si>
    <t>單井</t>
  </si>
  <si>
    <t>昇達科</t>
  </si>
  <si>
    <t>誠研</t>
  </si>
  <si>
    <t>維熹</t>
  </si>
  <si>
    <t>揚明光</t>
  </si>
  <si>
    <t>位速</t>
  </si>
  <si>
    <t>矽瑪</t>
  </si>
  <si>
    <t>昱晶</t>
  </si>
  <si>
    <t>華擎</t>
  </si>
  <si>
    <t>柏騰</t>
  </si>
  <si>
    <t>綠能</t>
  </si>
  <si>
    <t>宏森</t>
  </si>
  <si>
    <t>凡甲</t>
  </si>
  <si>
    <t>聚積</t>
  </si>
  <si>
    <t>安馳</t>
  </si>
  <si>
    <t>力旺</t>
  </si>
  <si>
    <t>先益</t>
  </si>
  <si>
    <t>台勝科</t>
  </si>
  <si>
    <t>嘉澤</t>
  </si>
  <si>
    <t>雷凌</t>
  </si>
  <si>
    <t>晶彩</t>
  </si>
  <si>
    <t>堡達</t>
  </si>
  <si>
    <t>西柏</t>
  </si>
  <si>
    <t>旭曜</t>
  </si>
  <si>
    <t>宇峻</t>
  </si>
  <si>
    <t>兆利</t>
  </si>
  <si>
    <t>聯穎</t>
  </si>
  <si>
    <t>世禾</t>
  </si>
  <si>
    <t>同致</t>
  </si>
  <si>
    <t>力積</t>
  </si>
  <si>
    <t>禾瑞亞</t>
  </si>
  <si>
    <t>全智科</t>
  </si>
  <si>
    <t>昇陽科</t>
  </si>
  <si>
    <t>牧德</t>
  </si>
  <si>
    <t>逸昌</t>
  </si>
  <si>
    <t>大塚</t>
  </si>
  <si>
    <t>穎台</t>
  </si>
  <si>
    <t>新日光</t>
  </si>
  <si>
    <t>泓格</t>
  </si>
  <si>
    <t>尚志</t>
  </si>
  <si>
    <t>友威科</t>
  </si>
  <si>
    <t>凌耀</t>
  </si>
  <si>
    <t>介面</t>
  </si>
  <si>
    <t>閎康</t>
  </si>
  <si>
    <t>通嘉</t>
  </si>
  <si>
    <t>艾笛森</t>
  </si>
  <si>
    <t>力銘</t>
  </si>
  <si>
    <t>智易</t>
  </si>
  <si>
    <t>奕力</t>
  </si>
  <si>
    <t>宏致</t>
  </si>
  <si>
    <t>谷崧</t>
  </si>
  <si>
    <t>東林</t>
  </si>
  <si>
    <t>鼎翰</t>
  </si>
  <si>
    <t>安可</t>
  </si>
  <si>
    <t>碩天</t>
  </si>
  <si>
    <t>洋華</t>
  </si>
  <si>
    <t>光頡</t>
  </si>
  <si>
    <t>盈正</t>
  </si>
  <si>
    <t>卓韋</t>
  </si>
  <si>
    <t>新鉅科</t>
  </si>
  <si>
    <t>晟楠</t>
  </si>
  <si>
    <t>研勤</t>
  </si>
  <si>
    <t>精聯</t>
  </si>
  <si>
    <t>健策</t>
  </si>
  <si>
    <t>KY貿聯</t>
  </si>
  <si>
    <t>TPK</t>
  </si>
  <si>
    <t>政翔</t>
  </si>
  <si>
    <t>達能</t>
  </si>
  <si>
    <t>歐買尬</t>
  </si>
  <si>
    <t>碩禾</t>
  </si>
  <si>
    <t>海華</t>
  </si>
  <si>
    <t>KY晨星</t>
  </si>
  <si>
    <t>大聯大</t>
  </si>
  <si>
    <t>欣陸</t>
  </si>
  <si>
    <t>合勤控</t>
  </si>
  <si>
    <t>永信</t>
  </si>
  <si>
    <t>永日</t>
  </si>
  <si>
    <t>百略</t>
  </si>
  <si>
    <t>佳醫</t>
  </si>
  <si>
    <t>東洋</t>
  </si>
  <si>
    <t>雃博</t>
  </si>
  <si>
    <t>邦特</t>
  </si>
  <si>
    <t>加捷</t>
  </si>
  <si>
    <t>濟生</t>
  </si>
  <si>
    <t>健喬</t>
  </si>
  <si>
    <t>旭富</t>
  </si>
  <si>
    <t>友華</t>
  </si>
  <si>
    <t>優盛</t>
  </si>
  <si>
    <t>晟德</t>
  </si>
  <si>
    <t>太醫</t>
  </si>
  <si>
    <t>中天</t>
  </si>
  <si>
    <t>聯合骨</t>
  </si>
  <si>
    <t>亞諾法</t>
  </si>
  <si>
    <t>曜亞</t>
  </si>
  <si>
    <t>KY馬光</t>
  </si>
  <si>
    <t>恆義</t>
  </si>
  <si>
    <t>環泰</t>
  </si>
  <si>
    <t>世坤</t>
  </si>
  <si>
    <t>炎洲</t>
  </si>
  <si>
    <t>東隆興</t>
  </si>
  <si>
    <t>新昕</t>
  </si>
  <si>
    <t>三圓</t>
  </si>
  <si>
    <t>金洲</t>
  </si>
  <si>
    <t>光明</t>
  </si>
  <si>
    <t>利勤</t>
  </si>
  <si>
    <t>聚紡</t>
  </si>
  <si>
    <t>耀億</t>
  </si>
  <si>
    <t>崇友</t>
  </si>
  <si>
    <t>永彰</t>
  </si>
  <si>
    <t>東台</t>
  </si>
  <si>
    <t>方土霖</t>
  </si>
  <si>
    <t>江興</t>
  </si>
  <si>
    <t>睿智</t>
  </si>
  <si>
    <t>協易機</t>
  </si>
  <si>
    <t>慶騰</t>
  </si>
  <si>
    <t>至興</t>
  </si>
  <si>
    <t>唐鋒</t>
  </si>
  <si>
    <t>大恭</t>
  </si>
  <si>
    <t>永純</t>
  </si>
  <si>
    <t>永捷</t>
  </si>
  <si>
    <t>大立高</t>
  </si>
  <si>
    <t>德淵</t>
  </si>
  <si>
    <t>美琪瑪</t>
  </si>
  <si>
    <t>國精化</t>
  </si>
  <si>
    <t>信昌化</t>
  </si>
  <si>
    <t>上緯</t>
  </si>
  <si>
    <t>泰博</t>
  </si>
  <si>
    <t>華廣</t>
  </si>
  <si>
    <t>台耀</t>
  </si>
  <si>
    <t>遠傳</t>
  </si>
  <si>
    <t>台聯電</t>
  </si>
  <si>
    <t>正文</t>
  </si>
  <si>
    <t>前鼎</t>
  </si>
  <si>
    <t>新復興</t>
  </si>
  <si>
    <t>KY聯德</t>
  </si>
  <si>
    <t>新唐</t>
  </si>
  <si>
    <t>燦星網</t>
  </si>
  <si>
    <t>和碩</t>
  </si>
  <si>
    <t>嘉彰</t>
  </si>
  <si>
    <t>兆遠</t>
  </si>
  <si>
    <t>辣椒</t>
  </si>
  <si>
    <t>商店街</t>
  </si>
  <si>
    <t>三星</t>
  </si>
  <si>
    <t>榮剛</t>
  </si>
  <si>
    <t>強新</t>
  </si>
  <si>
    <t>建錩</t>
  </si>
  <si>
    <t>華祺</t>
  </si>
  <si>
    <t>松和</t>
  </si>
  <si>
    <t>富強</t>
  </si>
  <si>
    <t>訊連</t>
  </si>
  <si>
    <t>漢康</t>
  </si>
  <si>
    <t>新鼎</t>
  </si>
  <si>
    <t>寶碩</t>
  </si>
  <si>
    <t>蒙恬</t>
  </si>
  <si>
    <t>凌網</t>
  </si>
  <si>
    <t>亞昕</t>
  </si>
  <si>
    <t>敦南</t>
  </si>
  <si>
    <t>寶島科</t>
  </si>
  <si>
    <t>凱美</t>
  </si>
  <si>
    <t>士開</t>
  </si>
  <si>
    <t>華容</t>
  </si>
  <si>
    <t>立衛</t>
  </si>
  <si>
    <t>世界</t>
  </si>
  <si>
    <t>先豐</t>
  </si>
  <si>
    <t>鈺創</t>
  </si>
  <si>
    <t>台林</t>
  </si>
  <si>
    <t>協益</t>
  </si>
  <si>
    <t>中光電</t>
  </si>
  <si>
    <t>金利</t>
  </si>
  <si>
    <t>中磊</t>
  </si>
  <si>
    <t>應華</t>
  </si>
  <si>
    <t>力瑋</t>
  </si>
  <si>
    <t>中菲</t>
  </si>
  <si>
    <t>國眾</t>
  </si>
  <si>
    <t>台半</t>
  </si>
  <si>
    <t>振發</t>
  </si>
  <si>
    <t>崇越</t>
  </si>
  <si>
    <t>東友</t>
  </si>
  <si>
    <t>高技</t>
  </si>
  <si>
    <t>均豪</t>
  </si>
  <si>
    <t>佶優</t>
  </si>
  <si>
    <t>同協</t>
  </si>
  <si>
    <t>霖宏</t>
  </si>
  <si>
    <t>泰林</t>
  </si>
  <si>
    <t>瀚宇博</t>
  </si>
  <si>
    <t>松翰</t>
  </si>
  <si>
    <t>德宏</t>
  </si>
  <si>
    <t>智冠</t>
  </si>
  <si>
    <t>統盟</t>
  </si>
  <si>
    <t>中美晶</t>
  </si>
  <si>
    <t>慧友</t>
  </si>
  <si>
    <t>通泰</t>
  </si>
  <si>
    <t>彩富</t>
  </si>
  <si>
    <t>同亨</t>
  </si>
  <si>
    <t>連展</t>
  </si>
  <si>
    <t>三聯</t>
  </si>
  <si>
    <t>和旺</t>
  </si>
  <si>
    <t>永信建</t>
  </si>
  <si>
    <t>德昌</t>
  </si>
  <si>
    <t>力麒</t>
  </si>
  <si>
    <t>三丰</t>
  </si>
  <si>
    <t>建國</t>
  </si>
  <si>
    <t>雙喜</t>
  </si>
  <si>
    <t>隆大</t>
  </si>
  <si>
    <t>力泰</t>
  </si>
  <si>
    <t>工信</t>
  </si>
  <si>
    <t>遠雄建</t>
  </si>
  <si>
    <t>順天</t>
  </si>
  <si>
    <t>志嘉</t>
  </si>
  <si>
    <t>龍巖</t>
  </si>
  <si>
    <t>鄉林</t>
  </si>
  <si>
    <t>皇鼎</t>
  </si>
  <si>
    <t>長虹</t>
  </si>
  <si>
    <t>聖暉</t>
  </si>
  <si>
    <t>台聯</t>
  </si>
  <si>
    <t>中連貨</t>
  </si>
  <si>
    <t>四維航</t>
  </si>
  <si>
    <t>中菲行</t>
  </si>
  <si>
    <t>亞都</t>
  </si>
  <si>
    <t>老爺知</t>
  </si>
  <si>
    <t>鳳凰</t>
  </si>
  <si>
    <t>日盛金</t>
  </si>
  <si>
    <t>合庫</t>
  </si>
  <si>
    <t>全家</t>
  </si>
  <si>
    <t>寶雅</t>
  </si>
  <si>
    <t>群益證</t>
  </si>
  <si>
    <t>凱基證</t>
  </si>
  <si>
    <t>康和證</t>
  </si>
  <si>
    <t>大展證</t>
  </si>
  <si>
    <t>大慶證</t>
  </si>
  <si>
    <t>大眾證</t>
  </si>
  <si>
    <t>寶來期</t>
  </si>
  <si>
    <t>群益期</t>
  </si>
  <si>
    <t>瑞傳</t>
  </si>
  <si>
    <t>競國</t>
  </si>
  <si>
    <t>聚碩</t>
  </si>
  <si>
    <t>鎰勝</t>
  </si>
  <si>
    <t>迎廣</t>
  </si>
  <si>
    <t>建達</t>
  </si>
  <si>
    <t>大傳</t>
  </si>
  <si>
    <t>輔祥</t>
  </si>
  <si>
    <t>新普</t>
  </si>
  <si>
    <t>擎邦</t>
  </si>
  <si>
    <t>上奇</t>
  </si>
  <si>
    <t>廣運</t>
  </si>
  <si>
    <t>信音</t>
  </si>
  <si>
    <t>九豪</t>
  </si>
  <si>
    <t>上福</t>
  </si>
  <si>
    <t>普誠</t>
  </si>
  <si>
    <t>悠克</t>
  </si>
  <si>
    <t>萬旭</t>
  </si>
  <si>
    <t>富爾特</t>
  </si>
  <si>
    <t>茂達</t>
  </si>
  <si>
    <t>亞翔</t>
  </si>
  <si>
    <t>訊達</t>
  </si>
  <si>
    <t>柏承</t>
  </si>
  <si>
    <t>友勁</t>
  </si>
  <si>
    <t>振曜</t>
  </si>
  <si>
    <t>耕興</t>
  </si>
  <si>
    <t>頎邦</t>
  </si>
  <si>
    <t>撼訊</t>
  </si>
  <si>
    <t>晉倫</t>
  </si>
  <si>
    <t>百一</t>
  </si>
  <si>
    <t>嘉聯益</t>
  </si>
  <si>
    <t>順發</t>
  </si>
  <si>
    <t>鈞寶</t>
  </si>
  <si>
    <t>禾昌</t>
  </si>
  <si>
    <t>欣技</t>
  </si>
  <si>
    <t>捷波</t>
  </si>
  <si>
    <t>華興</t>
  </si>
  <si>
    <t>凌華</t>
  </si>
  <si>
    <t>宏齊</t>
  </si>
  <si>
    <t>統振</t>
  </si>
  <si>
    <t>信昌電</t>
  </si>
  <si>
    <t>安碁</t>
  </si>
  <si>
    <t>立敦</t>
  </si>
  <si>
    <t>瑞儀</t>
  </si>
  <si>
    <t>達麗</t>
  </si>
  <si>
    <t>橘子</t>
  </si>
  <si>
    <t>合晶</t>
  </si>
  <si>
    <t>關貿</t>
  </si>
  <si>
    <t>大豐電</t>
  </si>
  <si>
    <t>幃翔</t>
  </si>
  <si>
    <t>廣明</t>
  </si>
  <si>
    <t>豐藝</t>
  </si>
  <si>
    <t>萬泰科</t>
  </si>
  <si>
    <t>精成</t>
  </si>
  <si>
    <t>巨路</t>
  </si>
  <si>
    <t>育富</t>
  </si>
  <si>
    <t>詩肯</t>
  </si>
  <si>
    <t>帆宣</t>
  </si>
  <si>
    <t>亞弘電</t>
  </si>
  <si>
    <t>盛群</t>
  </si>
  <si>
    <t>海韻電</t>
  </si>
  <si>
    <t>艾華</t>
  </si>
  <si>
    <t>詮欣</t>
  </si>
  <si>
    <t>飛捷</t>
  </si>
  <si>
    <t>雷科</t>
  </si>
  <si>
    <t>日揚</t>
  </si>
  <si>
    <t>今國</t>
  </si>
  <si>
    <t>慶生</t>
  </si>
  <si>
    <t>聯茂</t>
  </si>
  <si>
    <t>精誠</t>
  </si>
  <si>
    <t>和椿</t>
  </si>
  <si>
    <t>居易</t>
  </si>
  <si>
    <t>中探針</t>
  </si>
  <si>
    <t>豪勉</t>
  </si>
  <si>
    <t>岳豐</t>
  </si>
  <si>
    <t>晉泰</t>
  </si>
  <si>
    <t>旺矽</t>
  </si>
  <si>
    <t>聚鼎</t>
  </si>
  <si>
    <t>光鼎</t>
  </si>
  <si>
    <t>茂綸</t>
  </si>
  <si>
    <t>研通</t>
  </si>
  <si>
    <t>超眾</t>
  </si>
  <si>
    <t>系微</t>
  </si>
  <si>
    <t>力成</t>
  </si>
  <si>
    <t>迅傑</t>
  </si>
  <si>
    <t>茂迪</t>
  </si>
  <si>
    <t>立端</t>
  </si>
  <si>
    <t>淇譽電</t>
  </si>
  <si>
    <t>定穎</t>
  </si>
  <si>
    <t>矽格</t>
  </si>
  <si>
    <t>久元</t>
  </si>
  <si>
    <t>普萊德</t>
  </si>
  <si>
    <t>泰詠</t>
  </si>
  <si>
    <t>台郡</t>
  </si>
  <si>
    <t>倍微</t>
  </si>
  <si>
    <t>同欣電</t>
  </si>
  <si>
    <t>台燿</t>
  </si>
  <si>
    <t>元山</t>
  </si>
  <si>
    <t>宏正</t>
  </si>
  <si>
    <t>台表科</t>
  </si>
  <si>
    <t>胡連</t>
  </si>
  <si>
    <t>全國電</t>
  </si>
  <si>
    <t>康舒</t>
  </si>
  <si>
    <t>佳邦</t>
  </si>
  <si>
    <t>啟碁</t>
  </si>
  <si>
    <t>立錡</t>
  </si>
  <si>
    <t>良維</t>
  </si>
  <si>
    <t>迅德</t>
  </si>
  <si>
    <t>崴強</t>
  </si>
  <si>
    <t>台塑化</t>
  </si>
  <si>
    <t>雙邦</t>
  </si>
  <si>
    <t>惠光</t>
  </si>
  <si>
    <t>聚和</t>
  </si>
  <si>
    <t>富強鑫</t>
  </si>
  <si>
    <t>帝寶</t>
  </si>
  <si>
    <t>瀧澤</t>
  </si>
  <si>
    <t>崑鼎</t>
  </si>
  <si>
    <t>建興電</t>
  </si>
  <si>
    <t>矽創</t>
  </si>
  <si>
    <t>尖點</t>
  </si>
  <si>
    <t>佑華微</t>
  </si>
  <si>
    <t>光菱</t>
  </si>
  <si>
    <t>台虹</t>
  </si>
  <si>
    <t>九暘</t>
  </si>
  <si>
    <t>金山電</t>
  </si>
  <si>
    <t>蜜望實</t>
  </si>
  <si>
    <t>網家</t>
  </si>
  <si>
    <t>南電</t>
  </si>
  <si>
    <t>德勝</t>
  </si>
  <si>
    <t>廣積</t>
  </si>
  <si>
    <t>安國</t>
  </si>
  <si>
    <t>東捷</t>
  </si>
  <si>
    <t>元太</t>
  </si>
  <si>
    <t>長華</t>
  </si>
  <si>
    <t>豐聲</t>
  </si>
  <si>
    <t>陞泰</t>
  </si>
  <si>
    <t>鉅橡</t>
  </si>
  <si>
    <t>華寶</t>
  </si>
  <si>
    <t>誠遠</t>
  </si>
  <si>
    <t>致新</t>
  </si>
  <si>
    <t>瑞穎</t>
  </si>
  <si>
    <t>宏捷科</t>
  </si>
  <si>
    <t>翔名</t>
  </si>
  <si>
    <t>擎亞</t>
  </si>
  <si>
    <t>大世科</t>
  </si>
  <si>
    <t>瀚荃</t>
  </si>
  <si>
    <t>大億科</t>
  </si>
  <si>
    <t>博大</t>
  </si>
  <si>
    <t>華東</t>
  </si>
  <si>
    <t>立碁</t>
  </si>
  <si>
    <t>至上</t>
  </si>
  <si>
    <t>振樺電</t>
  </si>
  <si>
    <t>越峰</t>
  </si>
  <si>
    <t>福懋科</t>
  </si>
  <si>
    <t>達方</t>
  </si>
  <si>
    <t>加高</t>
  </si>
  <si>
    <t>無敵</t>
  </si>
  <si>
    <t>勤誠</t>
  </si>
  <si>
    <t>志超</t>
  </si>
  <si>
    <t>明基材</t>
  </si>
  <si>
    <t>新漢</t>
  </si>
  <si>
    <t>華宏</t>
  </si>
  <si>
    <t>菱光</t>
  </si>
  <si>
    <t>朋程</t>
  </si>
  <si>
    <t>富鼎</t>
  </si>
  <si>
    <t>宇瞻</t>
  </si>
  <si>
    <t>英格爾</t>
  </si>
  <si>
    <t>泰藝電</t>
  </si>
  <si>
    <t>群聯</t>
  </si>
  <si>
    <t>友信</t>
  </si>
  <si>
    <t>冠郝</t>
  </si>
  <si>
    <t>金居</t>
  </si>
  <si>
    <t>羅昇</t>
  </si>
  <si>
    <t>千附</t>
  </si>
  <si>
    <t>金益鼎</t>
  </si>
  <si>
    <t>白紗科</t>
  </si>
  <si>
    <t>盛弘</t>
  </si>
  <si>
    <t>KY百和</t>
  </si>
  <si>
    <t>森田</t>
  </si>
  <si>
    <t>東隆</t>
  </si>
  <si>
    <t>裕國</t>
  </si>
  <si>
    <t>欣雄</t>
  </si>
  <si>
    <t>華夏資</t>
  </si>
  <si>
    <t>光隆</t>
  </si>
  <si>
    <t>欣泰</t>
  </si>
  <si>
    <t>沈氏</t>
  </si>
  <si>
    <t>時報</t>
  </si>
  <si>
    <t>偉盟</t>
  </si>
  <si>
    <t>台汽電</t>
  </si>
  <si>
    <t>北基</t>
  </si>
  <si>
    <t>富堡</t>
  </si>
  <si>
    <t>青鋼</t>
  </si>
  <si>
    <t>大汽電</t>
  </si>
  <si>
    <t>愛地雅</t>
  </si>
  <si>
    <t>國統</t>
  </si>
  <si>
    <t>明安</t>
  </si>
  <si>
    <t>新天地</t>
  </si>
  <si>
    <t>森鉅</t>
  </si>
  <si>
    <t>高力</t>
  </si>
  <si>
    <t>泰金寶</t>
  </si>
  <si>
    <t>巨騰</t>
  </si>
  <si>
    <t>旺旺</t>
  </si>
  <si>
    <t>陽光能</t>
  </si>
  <si>
    <t>精熙</t>
  </si>
  <si>
    <t>寶成</t>
  </si>
  <si>
    <t>大華金</t>
  </si>
  <si>
    <t>統一實</t>
  </si>
  <si>
    <t>大台北</t>
  </si>
  <si>
    <t>豐泰</t>
  </si>
  <si>
    <t>櫻花</t>
  </si>
  <si>
    <t>美利達</t>
  </si>
  <si>
    <t>中興保</t>
  </si>
  <si>
    <t>欣天然</t>
  </si>
  <si>
    <t>康那香</t>
  </si>
  <si>
    <t>巨大</t>
  </si>
  <si>
    <t>福興</t>
  </si>
  <si>
    <t>新保</t>
  </si>
  <si>
    <t>新海瓦</t>
  </si>
  <si>
    <t>泰銘</t>
  </si>
  <si>
    <t>中聯資</t>
  </si>
  <si>
    <t>欣高</t>
  </si>
  <si>
    <t>中鼎</t>
  </si>
  <si>
    <t>成霖</t>
  </si>
  <si>
    <t>全國油</t>
  </si>
  <si>
    <t>百和</t>
  </si>
  <si>
    <t>宏全</t>
  </si>
  <si>
    <t>信義</t>
  </si>
  <si>
    <t>裕融</t>
  </si>
  <si>
    <t>茂順</t>
  </si>
  <si>
    <t>好樂迪</t>
  </si>
  <si>
    <t>新麗</t>
  </si>
  <si>
    <t>潤泰新</t>
  </si>
  <si>
    <t>琉園</t>
  </si>
  <si>
    <t>萬國通</t>
  </si>
  <si>
    <t>皇田</t>
  </si>
  <si>
    <t>佳龍</t>
  </si>
  <si>
    <t>世紀鋼</t>
  </si>
  <si>
    <t>邁達康</t>
  </si>
  <si>
    <t>有益</t>
  </si>
  <si>
    <t>代號</t>
    <phoneticPr fontId="21" type="noConversion"/>
  </si>
  <si>
    <t>股票名稱</t>
    <phoneticPr fontId="21" type="noConversion"/>
  </si>
  <si>
    <t>股票代碼</t>
    <phoneticPr fontId="21" type="noConversion"/>
  </si>
  <si>
    <t>年 度</t>
  </si>
  <si>
    <t>現 金 股 利</t>
  </si>
  <si>
    <t>盈 餘 配 股</t>
  </si>
  <si>
    <t>公 積 配 股</t>
  </si>
  <si>
    <t>股 票 股 利</t>
  </si>
  <si>
    <t>合 計</t>
  </si>
  <si>
    <t>股票</t>
  </si>
  <si>
    <t>代號</t>
  </si>
  <si>
    <t>時間</t>
  </si>
  <si>
    <t>成交</t>
  </si>
  <si>
    <t>買進</t>
  </si>
  <si>
    <t>賣出</t>
  </si>
  <si>
    <t>漲跌</t>
  </si>
  <si>
    <t>張數</t>
  </si>
  <si>
    <t>昨收</t>
  </si>
  <si>
    <t>開盤</t>
  </si>
  <si>
    <t>最高</t>
  </si>
  <si>
    <t>最低</t>
  </si>
  <si>
    <t>個股資料</t>
  </si>
  <si>
    <t>2330台積電</t>
  </si>
  <si>
    <t>加到投資組合</t>
  </si>
  <si>
    <t>成交明細</t>
  </si>
  <si>
    <t>技術 新聞</t>
  </si>
  <si>
    <t>基本 籌碼</t>
  </si>
  <si>
    <t>個股健診</t>
  </si>
  <si>
    <t>網友短評</t>
  </si>
  <si>
    <t>凱基證券下單</t>
  </si>
  <si>
    <t>買 賣 張 零股交易</t>
  </si>
  <si>
    <t>今日價格:</t>
    <phoneticPr fontId="21" type="noConversion"/>
  </si>
  <si>
    <t>漲跌:</t>
    <phoneticPr fontId="21" type="noConversion"/>
  </si>
  <si>
    <t>3年平均</t>
    <phoneticPr fontId="21" type="noConversion"/>
  </si>
  <si>
    <t>5年平均</t>
    <phoneticPr fontId="21" type="noConversion"/>
  </si>
  <si>
    <t>10年平均</t>
    <phoneticPr fontId="21" type="noConversion"/>
  </si>
  <si>
    <t>現金股利</t>
  </si>
  <si>
    <t>今年</t>
    <phoneticPr fontId="21" type="noConversion"/>
  </si>
  <si>
    <t>股票股利</t>
  </si>
  <si>
    <t>股票股利</t>
    <phoneticPr fontId="21" type="noConversion"/>
  </si>
  <si>
    <t>殖利率</t>
    <phoneticPr fontId="21" type="noConversion"/>
  </si>
  <si>
    <t>歷年最低</t>
    <phoneticPr fontId="21" type="noConversion"/>
  </si>
  <si>
    <t>最低一年</t>
    <phoneticPr fontId="21" type="noConversion"/>
  </si>
  <si>
    <t>歷年股息, 資料來源奇摩股市</t>
    <phoneticPr fontId="21" type="noConversion"/>
  </si>
  <si>
    <t>便宜價</t>
    <phoneticPr fontId="21" type="noConversion"/>
  </si>
  <si>
    <t>合理價</t>
    <phoneticPr fontId="21" type="noConversion"/>
  </si>
  <si>
    <t>昂貴價</t>
    <phoneticPr fontId="21" type="noConversion"/>
  </si>
  <si>
    <t>合理股價推算-現金股利</t>
    <phoneticPr fontId="21" type="noConversion"/>
  </si>
  <si>
    <t>合理股價推算-合計股利</t>
    <phoneticPr fontId="21" type="noConversion"/>
  </si>
  <si>
    <t>係數</t>
    <phoneticPr fontId="21" type="noConversion"/>
  </si>
  <si>
    <t>資料來源:溫國信老師書籍</t>
    <phoneticPr fontId="21" type="noConversion"/>
  </si>
  <si>
    <t>公 司 資 料</t>
  </si>
  <si>
    <t>基 本 資 料</t>
  </si>
  <si>
    <t>股東會及 100年配股</t>
  </si>
  <si>
    <t>產業類別</t>
  </si>
  <si>
    <t xml:space="preserve">半導體 </t>
  </si>
  <si>
    <t>3.00元</t>
  </si>
  <si>
    <t>成立時間</t>
  </si>
  <si>
    <t>-</t>
  </si>
  <si>
    <t>上市時間</t>
  </si>
  <si>
    <t>盈餘配股</t>
  </si>
  <si>
    <t>董 事 長</t>
  </si>
  <si>
    <t>張忠謀</t>
  </si>
  <si>
    <t>公積配股</t>
  </si>
  <si>
    <t>總 經 理</t>
  </si>
  <si>
    <t>股東會日期</t>
  </si>
  <si>
    <t>101/06/12</t>
  </si>
  <si>
    <t>發 言 人</t>
  </si>
  <si>
    <t>何麗梅</t>
  </si>
  <si>
    <t>股本</t>
  </si>
  <si>
    <t>2591.41億</t>
  </si>
  <si>
    <t>股務代理</t>
  </si>
  <si>
    <t>中信託02-23111838</t>
  </si>
  <si>
    <t>公司電話</t>
  </si>
  <si>
    <t>03-5636688</t>
  </si>
  <si>
    <t>營收比重</t>
  </si>
  <si>
    <t>晶圓90.78%、其他8.94%、包裝元件0.28%</t>
  </si>
  <si>
    <t>網 址</t>
  </si>
  <si>
    <t>http://www.tsmc.com/</t>
  </si>
  <si>
    <t>工 廠</t>
  </si>
  <si>
    <t>新竹、台南、上海松江廠</t>
  </si>
  <si>
    <t>最新四季每股盈餘</t>
  </si>
  <si>
    <t>最近四年每股盈餘</t>
  </si>
  <si>
    <t>營業毛利率</t>
  </si>
  <si>
    <t>100第3季</t>
  </si>
  <si>
    <t>1.17元</t>
  </si>
  <si>
    <t>99年</t>
  </si>
  <si>
    <t>6.24元</t>
  </si>
  <si>
    <t>營業利益率</t>
  </si>
  <si>
    <t>100第2季</t>
  </si>
  <si>
    <t>1.39元</t>
  </si>
  <si>
    <t>98年</t>
  </si>
  <si>
    <t>3.45元</t>
  </si>
  <si>
    <t>稅前淨利率</t>
  </si>
  <si>
    <t>100第1季</t>
  </si>
  <si>
    <t>1.40元</t>
  </si>
  <si>
    <t>97年</t>
  </si>
  <si>
    <t>3.86元</t>
  </si>
  <si>
    <t>資產報酬率</t>
  </si>
  <si>
    <t>96年</t>
  </si>
  <si>
    <t>4.14元</t>
  </si>
  <si>
    <t>股東權益報酬率</t>
  </si>
  <si>
    <t>除 權 資 料</t>
  </si>
  <si>
    <t>除 息 資 料</t>
  </si>
  <si>
    <t>除權日期</t>
  </si>
  <si>
    <t>除息日期</t>
  </si>
  <si>
    <t>最後過戶日</t>
  </si>
  <si>
    <t>融券最後回補日</t>
  </si>
  <si>
    <t>停止過戶期間</t>
  </si>
  <si>
    <t>停止融資期間</t>
  </si>
  <si>
    <t>停止融券期間</t>
  </si>
  <si>
    <t>公司基本資料-資料來源:奇摩股市</t>
    <phoneticPr fontId="21" type="noConversion"/>
  </si>
  <si>
    <t>營業毛利率(&gt;20%)</t>
    <phoneticPr fontId="21" type="noConversion"/>
  </si>
  <si>
    <t>現金股利(&gt;6.25%)</t>
    <phoneticPr fontId="21" type="noConversion"/>
  </si>
  <si>
    <t>合計(&gt;6.25%)</t>
    <phoneticPr fontId="21" type="noConversion"/>
  </si>
  <si>
    <t>本益比(&lt;12)</t>
    <phoneticPr fontId="21" type="noConversion"/>
  </si>
  <si>
    <t>負債比例(&lt;50%)</t>
    <phoneticPr fontId="21" type="noConversion"/>
  </si>
  <si>
    <t xml:space="preserve">台積電 (2330)  基本資料  </t>
  </si>
  <si>
    <t>開盤價</t>
  </si>
  <si>
    <t>最高價</t>
  </si>
  <si>
    <t>最低價</t>
  </si>
  <si>
    <t>收盤價</t>
  </si>
  <si>
    <t>一年內最高價</t>
  </si>
  <si>
    <t>一年內最低價</t>
  </si>
  <si>
    <t>本益比</t>
  </si>
  <si>
    <t>一年內最大量</t>
  </si>
  <si>
    <t>一年內最低量</t>
  </si>
  <si>
    <t>成交量</t>
  </si>
  <si>
    <t>同業平均本益比</t>
  </si>
  <si>
    <t>一年來最高本益比</t>
  </si>
  <si>
    <t>一年來最低本益比</t>
  </si>
  <si>
    <t>盤後量</t>
  </si>
  <si>
    <t>總市值</t>
  </si>
  <si>
    <t>85年來最高總市值</t>
  </si>
  <si>
    <t>85年來最低總市值</t>
  </si>
  <si>
    <t>投資風險</t>
  </si>
  <si>
    <t>今年以來</t>
  </si>
  <si>
    <t>每股淨值(元)</t>
  </si>
  <si>
    <t>貝他值</t>
  </si>
  <si>
    <t>最近一週</t>
  </si>
  <si>
    <t>每人營收(仟元)</t>
  </si>
  <si>
    <t>標準差</t>
  </si>
  <si>
    <t>最近一個月</t>
  </si>
  <si>
    <t>每股營收(元)</t>
  </si>
  <si>
    <t>最近二個月</t>
  </si>
  <si>
    <t>負債比例</t>
  </si>
  <si>
    <t>最近三個月</t>
  </si>
  <si>
    <t>股價淨值比</t>
  </si>
  <si>
    <t>營收市值比</t>
  </si>
  <si>
    <t>基本資料</t>
  </si>
  <si>
    <t>前一年度配股</t>
  </si>
  <si>
    <t>流通股本(億)</t>
  </si>
  <si>
    <t>現金股利(元)</t>
  </si>
  <si>
    <t>初次上市(櫃)日期</t>
  </si>
  <si>
    <t>董事長</t>
  </si>
  <si>
    <t>現金增資(億)</t>
  </si>
  <si>
    <t>N/A</t>
  </si>
  <si>
    <t>總經理</t>
  </si>
  <si>
    <t>認股率(每仟股)</t>
  </si>
  <si>
    <t>發言人</t>
  </si>
  <si>
    <t>現增溢價</t>
  </si>
  <si>
    <t>網址</t>
  </si>
  <si>
    <t>工廠</t>
  </si>
  <si>
    <t>年度</t>
  </si>
  <si>
    <t>最高總市值</t>
  </si>
  <si>
    <t>最低總市值</t>
  </si>
  <si>
    <t>最高本益比</t>
  </si>
  <si>
    <t>最低本益比</t>
  </si>
  <si>
    <t>個股即時資訊-資料來鴻奇摩股市</t>
    <phoneticPr fontId="21" type="noConversion"/>
  </si>
  <si>
    <t>公司基本資料-資料來源奇摩股市</t>
    <phoneticPr fontId="21" type="noConversion"/>
  </si>
  <si>
    <t>公司基本資料-資料來源Hinet</t>
    <phoneticPr fontId="21" type="noConversion"/>
  </si>
  <si>
    <t>每股淨值(&gt;15)</t>
    <phoneticPr fontId="21" type="noConversion"/>
  </si>
  <si>
    <t>可扣抵稅率</t>
    <phoneticPr fontId="21" type="noConversion"/>
  </si>
  <si>
    <t>股本(&gt;50億)-億</t>
    <phoneticPr fontId="21" type="noConversion"/>
  </si>
  <si>
    <t>股價/淨值比(&lt;2)</t>
    <phoneticPr fontId="21" type="noConversion"/>
  </si>
  <si>
    <t>股票名稱</t>
    <phoneticPr fontId="21" type="noConversion"/>
  </si>
  <si>
    <t>每股淨值
(&gt;15)</t>
    <phoneticPr fontId="21" type="noConversion"/>
  </si>
  <si>
    <t>營業毛利率
(&gt;20%)</t>
    <phoneticPr fontId="21" type="noConversion"/>
  </si>
  <si>
    <t>本益比
(&lt;12)</t>
    <phoneticPr fontId="21" type="noConversion"/>
  </si>
  <si>
    <t>負債比例
(&lt;50%)</t>
    <phoneticPr fontId="21" type="noConversion"/>
  </si>
  <si>
    <t>股本(億)
(&gt;50億)</t>
    <phoneticPr fontId="21" type="noConversion"/>
  </si>
  <si>
    <t>5年平均
現金股利</t>
    <phoneticPr fontId="21" type="noConversion"/>
  </si>
  <si>
    <t>股價/淨值
比(&lt;2)</t>
    <phoneticPr fontId="21" type="noConversion"/>
  </si>
  <si>
    <t>附註</t>
    <phoneticPr fontId="21" type="noConversion"/>
  </si>
  <si>
    <t>2441</t>
  </si>
  <si>
    <t>年度</t>
    <phoneticPr fontId="21" type="noConversion"/>
  </si>
  <si>
    <t>每股淨值</t>
    <phoneticPr fontId="21" type="noConversion"/>
  </si>
  <si>
    <t>股本(億)</t>
    <phoneticPr fontId="21" type="noConversion"/>
  </si>
  <si>
    <t>應大於15</t>
    <phoneticPr fontId="21" type="noConversion"/>
  </si>
  <si>
    <t>應大於20%</t>
    <phoneticPr fontId="21" type="noConversion"/>
  </si>
  <si>
    <t>營業毛利率</t>
    <phoneticPr fontId="21" type="noConversion"/>
  </si>
  <si>
    <t>股東權益報
酬率</t>
    <phoneticPr fontId="21" type="noConversion"/>
  </si>
  <si>
    <t>應小於2</t>
    <phoneticPr fontId="21" type="noConversion"/>
  </si>
  <si>
    <t>應小於12</t>
    <phoneticPr fontId="21" type="noConversion"/>
  </si>
  <si>
    <t>應小於50%</t>
    <phoneticPr fontId="21" type="noConversion"/>
  </si>
  <si>
    <t>股價/淨值
比</t>
    <phoneticPr fontId="21" type="noConversion"/>
  </si>
  <si>
    <t>本益比</t>
    <phoneticPr fontId="21" type="noConversion"/>
  </si>
  <si>
    <t>負債比例</t>
    <phoneticPr fontId="21" type="noConversion"/>
  </si>
  <si>
    <t>應大於50億</t>
    <phoneticPr fontId="21" type="noConversion"/>
  </si>
  <si>
    <t>5年平均現金股利推算價格</t>
    <phoneticPr fontId="21" type="noConversion"/>
  </si>
  <si>
    <t>預設20</t>
    <phoneticPr fontId="21" type="noConversion"/>
  </si>
  <si>
    <t>雪球股總覽表參數設定,各股綜合比較</t>
    <phoneticPr fontId="21" type="noConversion"/>
  </si>
  <si>
    <t>今日價格</t>
    <phoneticPr fontId="21" type="noConversion"/>
  </si>
  <si>
    <t>預設16</t>
    <phoneticPr fontId="21" type="noConversion"/>
  </si>
  <si>
    <t>預設32</t>
    <phoneticPr fontId="21" type="noConversion"/>
  </si>
  <si>
    <t>合計</t>
    <phoneticPr fontId="21" type="noConversion"/>
  </si>
  <si>
    <t>漲跌:</t>
  </si>
  <si>
    <t>抵稅率</t>
    <phoneticPr fontId="21" type="noConversion"/>
  </si>
  <si>
    <t>應大於20%</t>
    <phoneticPr fontId="21" type="noConversion"/>
  </si>
  <si>
    <t>未符合參數設定條件者以紅色表示, 符合者以藍色表示, 紅色越多, 越不具雪球股資格</t>
    <phoneticPr fontId="21" type="noConversion"/>
  </si>
  <si>
    <r>
      <t xml:space="preserve">股價推估預設值說明:
</t>
    </r>
    <r>
      <rPr>
        <sz val="11"/>
        <rFont val="新細明體"/>
        <family val="1"/>
        <charset val="136"/>
      </rPr>
      <t>1. 便宜價: 5年平均現金股利的16倍或5年平均現金殖利率為6.25%
2. 合理價: 5年平均現金股利的20倍或5年平均現金殖利率為5%
3. 昂貴價: 5年平均現金股利的32倍或5年平均現金殖利率為3.125%</t>
    </r>
    <phoneticPr fontId="21" type="noConversion"/>
  </si>
  <si>
    <t>獲 利 能 力 (100第4季)</t>
  </si>
  <si>
    <t>100第4季</t>
  </si>
  <si>
    <t>1.22元</t>
  </si>
  <si>
    <t>每股淨值:   24.29元</t>
  </si>
  <si>
    <t>財務比例(100.4Q)</t>
  </si>
  <si>
    <t>獲利能力(100.4Q)</t>
  </si>
  <si>
    <t>抵稅率
(&gt;20%)</t>
    <phoneticPr fontId="21" type="noConversion"/>
  </si>
  <si>
    <t xml:space="preserve"> 資料日期: 101/03/03</t>
  </si>
  <si>
    <t>最近交易日:03/03   市值單位:百萬</t>
  </si>
  <si>
    <t>投資報酬率(03/03)</t>
  </si>
  <si>
    <t>應大於5%</t>
    <phoneticPr fontId="21" type="noConversion"/>
  </si>
  <si>
    <t>股東權益報
酬率(&gt;5%)</t>
    <phoneticPr fontId="21" type="noConversion"/>
  </si>
  <si>
    <t>股東權益報酬率(&gt;5%)</t>
    <phoneticPr fontId="21" type="noConversion"/>
  </si>
  <si>
    <t xml:space="preserve">▽0.7 </t>
  </si>
</sst>
</file>

<file path=xl/styles.xml><?xml version="1.0" encoding="utf-8"?>
<styleSheet xmlns="http://schemas.openxmlformats.org/spreadsheetml/2006/main">
  <numFmts count="3">
    <numFmt numFmtId="176" formatCode="0.0_ "/>
    <numFmt numFmtId="177" formatCode="m&quot;月&quot;d&quot;日&quot;"/>
    <numFmt numFmtId="178" formatCode="0.00_ "/>
  </numFmts>
  <fonts count="34">
    <font>
      <sz val="12"/>
      <name val="新細明體"/>
      <family val="1"/>
      <charset val="136"/>
    </font>
    <font>
      <sz val="12"/>
      <name val="新細明體"/>
      <family val="1"/>
      <charset val="136"/>
    </font>
    <font>
      <sz val="12"/>
      <color indexed="8"/>
      <name val="新細明體"/>
      <family val="1"/>
      <charset val="136"/>
    </font>
    <font>
      <sz val="12"/>
      <color indexed="9"/>
      <name val="新細明體"/>
      <family val="1"/>
      <charset val="136"/>
    </font>
    <font>
      <sz val="11"/>
      <name val="ＭＳ Ｐゴシック"/>
      <family val="2"/>
    </font>
    <font>
      <sz val="12"/>
      <color indexed="60"/>
      <name val="新細明體"/>
      <family val="1"/>
      <charset val="136"/>
    </font>
    <font>
      <b/>
      <sz val="12"/>
      <color indexed="8"/>
      <name val="新細明體"/>
      <family val="1"/>
      <charset val="136"/>
    </font>
    <font>
      <sz val="12"/>
      <color indexed="17"/>
      <name val="新細明體"/>
      <family val="1"/>
      <charset val="136"/>
    </font>
    <font>
      <b/>
      <sz val="12"/>
      <color indexed="52"/>
      <name val="新細明體"/>
      <family val="1"/>
      <charset val="136"/>
    </font>
    <font>
      <sz val="12"/>
      <color indexed="52"/>
      <name val="新細明體"/>
      <family val="1"/>
      <charset val="136"/>
    </font>
    <font>
      <u/>
      <sz val="9.35"/>
      <color indexed="12"/>
      <name val="新細明體"/>
      <family val="1"/>
      <charset val="136"/>
    </font>
    <font>
      <i/>
      <sz val="12"/>
      <color indexed="23"/>
      <name val="新細明體"/>
      <family val="1"/>
      <charset val="136"/>
    </font>
    <font>
      <b/>
      <sz val="18"/>
      <color indexed="56"/>
      <name val="新細明體"/>
      <family val="1"/>
      <charset val="136"/>
    </font>
    <font>
      <b/>
      <sz val="15"/>
      <color indexed="56"/>
      <name val="新細明體"/>
      <family val="1"/>
      <charset val="136"/>
    </font>
    <font>
      <b/>
      <sz val="13"/>
      <color indexed="56"/>
      <name val="新細明體"/>
      <family val="1"/>
      <charset val="136"/>
    </font>
    <font>
      <b/>
      <sz val="11"/>
      <color indexed="56"/>
      <name val="新細明體"/>
      <family val="1"/>
      <charset val="136"/>
    </font>
    <font>
      <sz val="12"/>
      <color indexed="62"/>
      <name val="新細明體"/>
      <family val="1"/>
      <charset val="136"/>
    </font>
    <font>
      <b/>
      <sz val="12"/>
      <color indexed="63"/>
      <name val="新細明體"/>
      <family val="1"/>
      <charset val="136"/>
    </font>
    <font>
      <b/>
      <sz val="12"/>
      <color indexed="9"/>
      <name val="新細明體"/>
      <family val="1"/>
      <charset val="136"/>
    </font>
    <font>
      <sz val="12"/>
      <color indexed="20"/>
      <name val="新細明體"/>
      <family val="1"/>
      <charset val="136"/>
    </font>
    <font>
      <sz val="12"/>
      <color indexed="10"/>
      <name val="新細明體"/>
      <family val="1"/>
      <charset val="136"/>
    </font>
    <font>
      <sz val="9"/>
      <name val="新細明體"/>
      <family val="1"/>
      <charset val="136"/>
    </font>
    <font>
      <sz val="12"/>
      <color indexed="12"/>
      <name val="新細明體"/>
      <family val="1"/>
      <charset val="136"/>
    </font>
    <font>
      <sz val="9"/>
      <color indexed="81"/>
      <name val="新細明體"/>
      <family val="1"/>
      <charset val="136"/>
    </font>
    <font>
      <b/>
      <sz val="9"/>
      <color indexed="81"/>
      <name val="新細明體"/>
      <family val="1"/>
      <charset val="136"/>
    </font>
    <font>
      <sz val="12"/>
      <color indexed="61"/>
      <name val="新細明體"/>
      <family val="1"/>
      <charset val="136"/>
    </font>
    <font>
      <sz val="12"/>
      <color indexed="57"/>
      <name val="新細明體"/>
      <family val="1"/>
      <charset val="136"/>
    </font>
    <font>
      <sz val="12"/>
      <color indexed="21"/>
      <name val="新細明體"/>
      <family val="1"/>
      <charset val="136"/>
    </font>
    <font>
      <u/>
      <sz val="12"/>
      <color indexed="12"/>
      <name val="新細明體"/>
      <family val="1"/>
      <charset val="136"/>
    </font>
    <font>
      <sz val="12"/>
      <color indexed="10"/>
      <name val="新細明體"/>
      <family val="1"/>
      <charset val="136"/>
    </font>
    <font>
      <sz val="11"/>
      <name val="新細明體"/>
      <family val="1"/>
      <charset val="136"/>
    </font>
    <font>
      <sz val="9"/>
      <color indexed="81"/>
      <name val="Tahoma"/>
      <family val="2"/>
    </font>
    <font>
      <b/>
      <sz val="9"/>
      <color indexed="81"/>
      <name val="Tahoma"/>
      <family val="2"/>
    </font>
    <font>
      <sz val="9"/>
      <color indexed="81"/>
      <name val="細明體"/>
      <family val="3"/>
      <charset val="136"/>
    </font>
  </fonts>
  <fills count="29">
    <fill>
      <patternFill patternType="none"/>
    </fill>
    <fill>
      <patternFill patternType="gray125"/>
    </fill>
    <fill>
      <patternFill patternType="solid">
        <fgColor indexed="31"/>
      </patternFill>
    </fill>
    <fill>
      <patternFill patternType="solid">
        <fgColor indexed="45"/>
      </patternFill>
    </fill>
    <fill>
      <patternFill patternType="solid">
        <fgColor indexed="42"/>
      </patternFill>
    </fill>
    <fill>
      <patternFill patternType="solid">
        <fgColor indexed="46"/>
      </patternFill>
    </fill>
    <fill>
      <patternFill patternType="solid">
        <fgColor indexed="27"/>
      </patternFill>
    </fill>
    <fill>
      <patternFill patternType="solid">
        <fgColor indexed="47"/>
      </patternFill>
    </fill>
    <fill>
      <patternFill patternType="solid">
        <fgColor indexed="44"/>
      </patternFill>
    </fill>
    <fill>
      <patternFill patternType="solid">
        <fgColor indexed="29"/>
      </patternFill>
    </fill>
    <fill>
      <patternFill patternType="solid">
        <fgColor indexed="11"/>
      </patternFill>
    </fill>
    <fill>
      <patternFill patternType="solid">
        <fgColor indexed="51"/>
      </patternFill>
    </fill>
    <fill>
      <patternFill patternType="solid">
        <fgColor indexed="30"/>
      </patternFill>
    </fill>
    <fill>
      <patternFill patternType="solid">
        <fgColor indexed="36"/>
      </patternFill>
    </fill>
    <fill>
      <patternFill patternType="solid">
        <fgColor indexed="49"/>
      </patternFill>
    </fill>
    <fill>
      <patternFill patternType="solid">
        <fgColor indexed="52"/>
      </patternFill>
    </fill>
    <fill>
      <patternFill patternType="solid">
        <fgColor indexed="43"/>
      </patternFill>
    </fill>
    <fill>
      <patternFill patternType="solid">
        <fgColor indexed="22"/>
      </patternFill>
    </fill>
    <fill>
      <patternFill patternType="solid">
        <fgColor indexed="26"/>
      </patternFill>
    </fill>
    <fill>
      <patternFill patternType="solid">
        <fgColor indexed="62"/>
      </patternFill>
    </fill>
    <fill>
      <patternFill patternType="solid">
        <fgColor indexed="10"/>
      </patternFill>
    </fill>
    <fill>
      <patternFill patternType="solid">
        <fgColor indexed="57"/>
      </patternFill>
    </fill>
    <fill>
      <patternFill patternType="solid">
        <fgColor indexed="53"/>
      </patternFill>
    </fill>
    <fill>
      <patternFill patternType="solid">
        <fgColor indexed="55"/>
      </patternFill>
    </fill>
    <fill>
      <patternFill patternType="solid">
        <fgColor indexed="41"/>
        <bgColor indexed="64"/>
      </patternFill>
    </fill>
    <fill>
      <patternFill patternType="solid">
        <fgColor indexed="43"/>
        <bgColor indexed="64"/>
      </patternFill>
    </fill>
    <fill>
      <patternFill patternType="solid">
        <fgColor indexed="42"/>
        <bgColor indexed="64"/>
      </patternFill>
    </fill>
    <fill>
      <patternFill patternType="solid">
        <fgColor indexed="9"/>
        <bgColor indexed="64"/>
      </patternFill>
    </fill>
    <fill>
      <patternFill patternType="solid">
        <fgColor indexed="27"/>
        <bgColor indexed="64"/>
      </patternFill>
    </fill>
  </fills>
  <borders count="50">
    <border>
      <left/>
      <right/>
      <top/>
      <bottom/>
      <diagonal/>
    </border>
    <border>
      <left/>
      <right/>
      <top style="thin">
        <color indexed="62"/>
      </top>
      <bottom style="double">
        <color indexed="62"/>
      </bottom>
      <diagonal/>
    </border>
    <border>
      <left style="thin">
        <color indexed="23"/>
      </left>
      <right style="thin">
        <color indexed="23"/>
      </right>
      <top style="thin">
        <color indexed="23"/>
      </top>
      <bottom style="thin">
        <color indexed="23"/>
      </bottom>
      <diagonal/>
    </border>
    <border>
      <left/>
      <right/>
      <top/>
      <bottom style="double">
        <color indexed="52"/>
      </bottom>
      <diagonal/>
    </border>
    <border>
      <left style="thin">
        <color indexed="22"/>
      </left>
      <right style="thin">
        <color indexed="22"/>
      </right>
      <top style="thin">
        <color indexed="22"/>
      </top>
      <bottom style="thin">
        <color indexed="22"/>
      </bottom>
      <diagonal/>
    </border>
    <border>
      <left/>
      <right/>
      <top/>
      <bottom style="thick">
        <color indexed="62"/>
      </bottom>
      <diagonal/>
    </border>
    <border>
      <left/>
      <right/>
      <top/>
      <bottom style="thick">
        <color indexed="22"/>
      </bottom>
      <diagonal/>
    </border>
    <border>
      <left/>
      <right/>
      <top/>
      <bottom style="medium">
        <color indexed="30"/>
      </bottom>
      <diagonal/>
    </border>
    <border>
      <left style="thin">
        <color indexed="63"/>
      </left>
      <right style="thin">
        <color indexed="63"/>
      </right>
      <top style="thin">
        <color indexed="63"/>
      </top>
      <bottom style="thin">
        <color indexed="63"/>
      </bottom>
      <diagonal/>
    </border>
    <border>
      <left style="double">
        <color indexed="63"/>
      </left>
      <right style="double">
        <color indexed="63"/>
      </right>
      <top style="double">
        <color indexed="63"/>
      </top>
      <bottom style="double">
        <color indexed="63"/>
      </bottom>
      <diagonal/>
    </border>
    <border>
      <left style="thin">
        <color indexed="64"/>
      </left>
      <right style="thin">
        <color indexed="64"/>
      </right>
      <top style="thin">
        <color indexed="64"/>
      </top>
      <bottom style="thin">
        <color indexed="64"/>
      </bottom>
      <diagonal/>
    </border>
    <border>
      <left style="thin">
        <color indexed="64"/>
      </left>
      <right style="thin">
        <color indexed="64"/>
      </right>
      <top style="double">
        <color indexed="64"/>
      </top>
      <bottom style="thin">
        <color indexed="64"/>
      </bottom>
      <diagonal/>
    </border>
    <border>
      <left style="double">
        <color indexed="64"/>
      </left>
      <right style="thin">
        <color indexed="64"/>
      </right>
      <top style="thin">
        <color indexed="64"/>
      </top>
      <bottom style="thin">
        <color indexed="64"/>
      </bottom>
      <diagonal/>
    </border>
    <border>
      <left style="thin">
        <color indexed="64"/>
      </left>
      <right style="double">
        <color indexed="64"/>
      </right>
      <top style="thin">
        <color indexed="64"/>
      </top>
      <bottom style="thin">
        <color indexed="64"/>
      </bottom>
      <diagonal/>
    </border>
    <border>
      <left style="double">
        <color indexed="64"/>
      </left>
      <right style="thin">
        <color indexed="64"/>
      </right>
      <top style="thin">
        <color indexed="64"/>
      </top>
      <bottom style="double">
        <color indexed="64"/>
      </bottom>
      <diagonal/>
    </border>
    <border>
      <left style="thin">
        <color indexed="64"/>
      </left>
      <right style="thin">
        <color indexed="64"/>
      </right>
      <top style="thin">
        <color indexed="64"/>
      </top>
      <bottom style="double">
        <color indexed="64"/>
      </bottom>
      <diagonal/>
    </border>
    <border>
      <left style="thin">
        <color indexed="64"/>
      </left>
      <right style="double">
        <color indexed="64"/>
      </right>
      <top style="thin">
        <color indexed="64"/>
      </top>
      <bottom style="double">
        <color indexed="64"/>
      </bottom>
      <diagonal/>
    </border>
    <border>
      <left style="double">
        <color indexed="64"/>
      </left>
      <right style="thin">
        <color indexed="64"/>
      </right>
      <top style="double">
        <color indexed="64"/>
      </top>
      <bottom style="thin">
        <color indexed="64"/>
      </bottom>
      <diagonal/>
    </border>
    <border>
      <left style="double">
        <color indexed="64"/>
      </left>
      <right style="thin">
        <color indexed="64"/>
      </right>
      <top style="thin">
        <color indexed="64"/>
      </top>
      <bottom/>
      <diagonal/>
    </border>
    <border>
      <left style="double">
        <color indexed="64"/>
      </left>
      <right style="thin">
        <color indexed="64"/>
      </right>
      <top/>
      <bottom style="thin">
        <color indexed="64"/>
      </bottom>
      <diagonal/>
    </border>
    <border>
      <left style="thin">
        <color indexed="64"/>
      </left>
      <right style="double">
        <color indexed="64"/>
      </right>
      <top style="double">
        <color indexed="64"/>
      </top>
      <bottom style="thin">
        <color indexed="64"/>
      </bottom>
      <diagonal/>
    </border>
    <border>
      <left/>
      <right/>
      <top style="thin">
        <color indexed="64"/>
      </top>
      <bottom/>
      <diagonal/>
    </border>
    <border>
      <left style="thin">
        <color indexed="64"/>
      </left>
      <right/>
      <top style="thin">
        <color indexed="64"/>
      </top>
      <bottom style="thin">
        <color indexed="64"/>
      </bottom>
      <diagonal/>
    </border>
    <border>
      <left/>
      <right/>
      <top style="thin">
        <color indexed="64"/>
      </top>
      <bottom style="thin">
        <color indexed="64"/>
      </bottom>
      <diagonal/>
    </border>
    <border>
      <left/>
      <right style="double">
        <color indexed="64"/>
      </right>
      <top style="thin">
        <color indexed="64"/>
      </top>
      <bottom style="thin">
        <color indexed="64"/>
      </bottom>
      <diagonal/>
    </border>
    <border>
      <left style="thin">
        <color indexed="64"/>
      </left>
      <right/>
      <top style="thin">
        <color indexed="64"/>
      </top>
      <bottom style="double">
        <color indexed="64"/>
      </bottom>
      <diagonal/>
    </border>
    <border>
      <left/>
      <right/>
      <top style="thin">
        <color indexed="64"/>
      </top>
      <bottom style="double">
        <color indexed="64"/>
      </bottom>
      <diagonal/>
    </border>
    <border>
      <left/>
      <right style="double">
        <color indexed="64"/>
      </right>
      <top style="thin">
        <color indexed="64"/>
      </top>
      <bottom style="double">
        <color indexed="64"/>
      </bottom>
      <diagonal/>
    </border>
    <border>
      <left style="thin">
        <color indexed="64"/>
      </left>
      <right/>
      <top style="thin">
        <color indexed="64"/>
      </top>
      <bottom/>
      <diagonal/>
    </border>
    <border>
      <left style="thin">
        <color indexed="64"/>
      </left>
      <right/>
      <top/>
      <bottom style="thin">
        <color indexed="64"/>
      </bottom>
      <diagonal/>
    </border>
    <border>
      <left/>
      <right/>
      <top/>
      <bottom style="thin">
        <color indexed="64"/>
      </bottom>
      <diagonal/>
    </border>
    <border>
      <left/>
      <right style="thin">
        <color indexed="64"/>
      </right>
      <top style="thin">
        <color indexed="64"/>
      </top>
      <bottom/>
      <diagonal/>
    </border>
    <border>
      <left style="thin">
        <color indexed="64"/>
      </left>
      <right/>
      <top/>
      <bottom/>
      <diagonal/>
    </border>
    <border>
      <left/>
      <right style="thin">
        <color indexed="64"/>
      </right>
      <top/>
      <bottom/>
      <diagonal/>
    </border>
    <border>
      <left/>
      <right style="thin">
        <color indexed="64"/>
      </right>
      <top/>
      <bottom style="thin">
        <color indexed="64"/>
      </bottom>
      <diagonal/>
    </border>
    <border>
      <left style="double">
        <color indexed="64"/>
      </left>
      <right style="thin">
        <color indexed="64"/>
      </right>
      <top/>
      <bottom/>
      <diagonal/>
    </border>
    <border>
      <left style="thin">
        <color indexed="64"/>
      </left>
      <right style="thin">
        <color indexed="64"/>
      </right>
      <top style="thin">
        <color indexed="64"/>
      </top>
      <bottom/>
      <diagonal/>
    </border>
    <border>
      <left style="thin">
        <color indexed="64"/>
      </left>
      <right style="thin">
        <color indexed="64"/>
      </right>
      <top/>
      <bottom style="thin">
        <color indexed="64"/>
      </bottom>
      <diagonal/>
    </border>
    <border>
      <left style="thin">
        <color indexed="64"/>
      </left>
      <right style="thin">
        <color indexed="64"/>
      </right>
      <top/>
      <bottom/>
      <diagonal/>
    </border>
    <border>
      <left/>
      <right style="thin">
        <color indexed="64"/>
      </right>
      <top style="thin">
        <color indexed="64"/>
      </top>
      <bottom style="thin">
        <color indexed="64"/>
      </bottom>
      <diagonal/>
    </border>
    <border>
      <left style="double">
        <color indexed="64"/>
      </left>
      <right/>
      <top style="double">
        <color indexed="64"/>
      </top>
      <bottom style="thin">
        <color indexed="64"/>
      </bottom>
      <diagonal/>
    </border>
    <border>
      <left/>
      <right/>
      <top style="double">
        <color indexed="64"/>
      </top>
      <bottom style="thin">
        <color indexed="64"/>
      </bottom>
      <diagonal/>
    </border>
    <border>
      <left/>
      <right style="double">
        <color indexed="64"/>
      </right>
      <top style="double">
        <color indexed="64"/>
      </top>
      <bottom style="thin">
        <color indexed="64"/>
      </bottom>
      <diagonal/>
    </border>
    <border>
      <left style="double">
        <color indexed="64"/>
      </left>
      <right/>
      <top style="thin">
        <color indexed="64"/>
      </top>
      <bottom style="thin">
        <color indexed="64"/>
      </bottom>
      <diagonal/>
    </border>
    <border>
      <left style="double">
        <color indexed="64"/>
      </left>
      <right style="thin">
        <color indexed="64"/>
      </right>
      <top style="double">
        <color indexed="64"/>
      </top>
      <bottom/>
      <diagonal/>
    </border>
    <border>
      <left style="thin">
        <color indexed="64"/>
      </left>
      <right style="double">
        <color indexed="64"/>
      </right>
      <top style="double">
        <color indexed="64"/>
      </top>
      <bottom/>
      <diagonal/>
    </border>
    <border>
      <left/>
      <right style="double">
        <color indexed="64"/>
      </right>
      <top style="thin">
        <color indexed="64"/>
      </top>
      <bottom/>
      <diagonal/>
    </border>
    <border>
      <left/>
      <right style="double">
        <color indexed="64"/>
      </right>
      <top/>
      <bottom/>
      <diagonal/>
    </border>
    <border>
      <left/>
      <right style="double">
        <color indexed="64"/>
      </right>
      <top/>
      <bottom style="thin">
        <color indexed="64"/>
      </bottom>
      <diagonal/>
    </border>
    <border>
      <left style="double">
        <color indexed="64"/>
      </left>
      <right/>
      <top style="thin">
        <color indexed="64"/>
      </top>
      <bottom style="double">
        <color indexed="64"/>
      </bottom>
      <diagonal/>
    </border>
  </borders>
  <cellStyleXfs count="46">
    <xf numFmtId="0" fontId="0" fillId="0" borderId="0">
      <alignment vertical="center"/>
    </xf>
    <xf numFmtId="0" fontId="2" fillId="2" borderId="0" applyNumberFormat="0" applyBorder="0" applyAlignment="0" applyProtection="0">
      <alignment vertical="center"/>
    </xf>
    <xf numFmtId="0" fontId="2" fillId="3" borderId="0" applyNumberFormat="0" applyBorder="0" applyAlignment="0" applyProtection="0">
      <alignment vertical="center"/>
    </xf>
    <xf numFmtId="0" fontId="2" fillId="4" borderId="0" applyNumberFormat="0" applyBorder="0" applyAlignment="0" applyProtection="0">
      <alignment vertical="center"/>
    </xf>
    <xf numFmtId="0" fontId="2" fillId="5" borderId="0" applyNumberFormat="0" applyBorder="0" applyAlignment="0" applyProtection="0">
      <alignment vertical="center"/>
    </xf>
    <xf numFmtId="0" fontId="2" fillId="6" borderId="0" applyNumberFormat="0" applyBorder="0" applyAlignment="0" applyProtection="0">
      <alignment vertical="center"/>
    </xf>
    <xf numFmtId="0" fontId="2" fillId="7" borderId="0" applyNumberFormat="0" applyBorder="0" applyAlignment="0" applyProtection="0">
      <alignment vertical="center"/>
    </xf>
    <xf numFmtId="0" fontId="2" fillId="8" borderId="0" applyNumberFormat="0" applyBorder="0" applyAlignment="0" applyProtection="0">
      <alignment vertical="center"/>
    </xf>
    <xf numFmtId="0" fontId="2" fillId="9" borderId="0" applyNumberFormat="0" applyBorder="0" applyAlignment="0" applyProtection="0">
      <alignment vertical="center"/>
    </xf>
    <xf numFmtId="0" fontId="2" fillId="10" borderId="0" applyNumberFormat="0" applyBorder="0" applyAlignment="0" applyProtection="0">
      <alignment vertical="center"/>
    </xf>
    <xf numFmtId="0" fontId="2" fillId="5" borderId="0" applyNumberFormat="0" applyBorder="0" applyAlignment="0" applyProtection="0">
      <alignment vertical="center"/>
    </xf>
    <xf numFmtId="0" fontId="2" fillId="8" borderId="0" applyNumberFormat="0" applyBorder="0" applyAlignment="0" applyProtection="0">
      <alignment vertical="center"/>
    </xf>
    <xf numFmtId="0" fontId="2" fillId="11" borderId="0" applyNumberFormat="0" applyBorder="0" applyAlignment="0" applyProtection="0">
      <alignment vertical="center"/>
    </xf>
    <xf numFmtId="0" fontId="3" fillId="12" borderId="0" applyNumberFormat="0" applyBorder="0" applyAlignment="0" applyProtection="0">
      <alignment vertical="center"/>
    </xf>
    <xf numFmtId="0" fontId="3" fillId="9" borderId="0" applyNumberFormat="0" applyBorder="0" applyAlignment="0" applyProtection="0">
      <alignment vertical="center"/>
    </xf>
    <xf numFmtId="0" fontId="3" fillId="10" borderId="0" applyNumberFormat="0" applyBorder="0" applyAlignment="0" applyProtection="0">
      <alignment vertical="center"/>
    </xf>
    <xf numFmtId="0" fontId="3" fillId="13" borderId="0" applyNumberFormat="0" applyBorder="0" applyAlignment="0" applyProtection="0">
      <alignment vertical="center"/>
    </xf>
    <xf numFmtId="0" fontId="3" fillId="14" borderId="0" applyNumberFormat="0" applyBorder="0" applyAlignment="0" applyProtection="0">
      <alignment vertical="center"/>
    </xf>
    <xf numFmtId="0" fontId="3" fillId="15" borderId="0" applyNumberFormat="0" applyBorder="0" applyAlignment="0" applyProtection="0">
      <alignment vertical="center"/>
    </xf>
    <xf numFmtId="0" fontId="4" fillId="0" borderId="0"/>
    <xf numFmtId="0" fontId="2" fillId="0" borderId="0">
      <alignment vertical="center"/>
    </xf>
    <xf numFmtId="0" fontId="5" fillId="16" borderId="0" applyNumberFormat="0" applyBorder="0" applyAlignment="0" applyProtection="0">
      <alignment vertical="center"/>
    </xf>
    <xf numFmtId="0" fontId="6" fillId="0" borderId="1" applyNumberFormat="0" applyFill="0" applyAlignment="0" applyProtection="0">
      <alignment vertical="center"/>
    </xf>
    <xf numFmtId="0" fontId="7" fillId="4" borderId="0" applyNumberFormat="0" applyBorder="0" applyAlignment="0" applyProtection="0">
      <alignment vertical="center"/>
    </xf>
    <xf numFmtId="9" fontId="1" fillId="0" borderId="0" applyFont="0" applyFill="0" applyBorder="0" applyAlignment="0" applyProtection="0">
      <alignment vertical="center"/>
    </xf>
    <xf numFmtId="0" fontId="8" fillId="17" borderId="2" applyNumberFormat="0" applyAlignment="0" applyProtection="0">
      <alignment vertical="center"/>
    </xf>
    <xf numFmtId="0" fontId="9" fillId="0" borderId="3" applyNumberFormat="0" applyFill="0" applyAlignment="0" applyProtection="0">
      <alignment vertical="center"/>
    </xf>
    <xf numFmtId="0" fontId="2" fillId="18" borderId="4" applyNumberFormat="0" applyFont="0" applyAlignment="0" applyProtection="0">
      <alignment vertical="center"/>
    </xf>
    <xf numFmtId="0" fontId="10" fillId="0" borderId="0" applyNumberFormat="0" applyFill="0" applyBorder="0" applyAlignment="0" applyProtection="0">
      <alignment vertical="top"/>
      <protection locked="0"/>
    </xf>
    <xf numFmtId="0" fontId="11" fillId="0" borderId="0" applyNumberFormat="0" applyFill="0" applyBorder="0" applyAlignment="0" applyProtection="0">
      <alignment vertical="center"/>
    </xf>
    <xf numFmtId="0" fontId="3" fillId="19" borderId="0" applyNumberFormat="0" applyBorder="0" applyAlignment="0" applyProtection="0">
      <alignment vertical="center"/>
    </xf>
    <xf numFmtId="0" fontId="3" fillId="20" borderId="0" applyNumberFormat="0" applyBorder="0" applyAlignment="0" applyProtection="0">
      <alignment vertical="center"/>
    </xf>
    <xf numFmtId="0" fontId="3" fillId="21" borderId="0" applyNumberFormat="0" applyBorder="0" applyAlignment="0" applyProtection="0">
      <alignment vertical="center"/>
    </xf>
    <xf numFmtId="0" fontId="3" fillId="13" borderId="0" applyNumberFormat="0" applyBorder="0" applyAlignment="0" applyProtection="0">
      <alignment vertical="center"/>
    </xf>
    <xf numFmtId="0" fontId="3" fillId="14" borderId="0" applyNumberFormat="0" applyBorder="0" applyAlignment="0" applyProtection="0">
      <alignment vertical="center"/>
    </xf>
    <xf numFmtId="0" fontId="3" fillId="22" borderId="0" applyNumberFormat="0" applyBorder="0" applyAlignment="0" applyProtection="0">
      <alignment vertical="center"/>
    </xf>
    <xf numFmtId="0" fontId="12" fillId="0" borderId="0" applyNumberFormat="0" applyFill="0" applyBorder="0" applyAlignment="0" applyProtection="0">
      <alignment vertical="center"/>
    </xf>
    <xf numFmtId="0" fontId="13" fillId="0" borderId="5" applyNumberFormat="0" applyFill="0" applyAlignment="0" applyProtection="0">
      <alignment vertical="center"/>
    </xf>
    <xf numFmtId="0" fontId="14" fillId="0" borderId="6" applyNumberFormat="0" applyFill="0" applyAlignment="0" applyProtection="0">
      <alignment vertical="center"/>
    </xf>
    <xf numFmtId="0" fontId="15" fillId="0" borderId="7" applyNumberFormat="0" applyFill="0" applyAlignment="0" applyProtection="0">
      <alignment vertical="center"/>
    </xf>
    <xf numFmtId="0" fontId="15" fillId="0" borderId="0" applyNumberFormat="0" applyFill="0" applyBorder="0" applyAlignment="0" applyProtection="0">
      <alignment vertical="center"/>
    </xf>
    <xf numFmtId="0" fontId="16" fillId="7" borderId="2" applyNumberFormat="0" applyAlignment="0" applyProtection="0">
      <alignment vertical="center"/>
    </xf>
    <xf numFmtId="0" fontId="17" fillId="17" borderId="8" applyNumberFormat="0" applyAlignment="0" applyProtection="0">
      <alignment vertical="center"/>
    </xf>
    <xf numFmtId="0" fontId="18" fillId="23" borderId="9" applyNumberFormat="0" applyAlignment="0" applyProtection="0">
      <alignment vertical="center"/>
    </xf>
    <xf numFmtId="0" fontId="19" fillId="3" borderId="0" applyNumberFormat="0" applyBorder="0" applyAlignment="0" applyProtection="0">
      <alignment vertical="center"/>
    </xf>
    <xf numFmtId="0" fontId="20" fillId="0" borderId="0" applyNumberFormat="0" applyFill="0" applyBorder="0" applyAlignment="0" applyProtection="0">
      <alignment vertical="center"/>
    </xf>
  </cellStyleXfs>
  <cellXfs count="213">
    <xf numFmtId="0" fontId="0" fillId="0" borderId="0" xfId="0">
      <alignment vertical="center"/>
    </xf>
    <xf numFmtId="0" fontId="2" fillId="0" borderId="0" xfId="20">
      <alignment vertical="center"/>
    </xf>
    <xf numFmtId="0" fontId="2" fillId="0" borderId="0" xfId="20" applyAlignment="1">
      <alignment vertical="center" wrapText="1"/>
    </xf>
    <xf numFmtId="0" fontId="2" fillId="0" borderId="10" xfId="20" applyBorder="1" applyAlignment="1">
      <alignment horizontal="center" vertical="center"/>
    </xf>
    <xf numFmtId="0" fontId="2" fillId="0" borderId="10" xfId="20" applyBorder="1" applyAlignment="1">
      <alignment horizontal="center" vertical="center" wrapText="1"/>
    </xf>
    <xf numFmtId="10" fontId="2" fillId="0" borderId="10" xfId="20" applyNumberFormat="1" applyBorder="1" applyAlignment="1">
      <alignment horizontal="center" vertical="center" wrapText="1"/>
    </xf>
    <xf numFmtId="3" fontId="2" fillId="0" borderId="10" xfId="20" applyNumberFormat="1" applyBorder="1" applyAlignment="1">
      <alignment horizontal="center" vertical="center" wrapText="1"/>
    </xf>
    <xf numFmtId="20" fontId="0" fillId="0" borderId="0" xfId="0" applyNumberFormat="1">
      <alignment vertical="center"/>
    </xf>
    <xf numFmtId="0" fontId="0" fillId="24" borderId="10" xfId="0" applyFill="1" applyBorder="1" applyAlignment="1">
      <alignment horizontal="center" vertical="center"/>
    </xf>
    <xf numFmtId="0" fontId="0" fillId="0" borderId="0" xfId="0" applyFill="1">
      <alignment vertical="center"/>
    </xf>
    <xf numFmtId="0" fontId="0" fillId="0" borderId="10" xfId="0" applyFill="1" applyBorder="1" applyAlignment="1">
      <alignment horizontal="center" vertical="center"/>
    </xf>
    <xf numFmtId="0" fontId="0" fillId="25" borderId="10" xfId="0" applyFill="1" applyBorder="1" applyAlignment="1">
      <alignment horizontal="center" vertical="center"/>
    </xf>
    <xf numFmtId="0" fontId="0" fillId="24" borderId="10" xfId="0" applyFill="1" applyBorder="1">
      <alignment vertical="center"/>
    </xf>
    <xf numFmtId="0" fontId="0" fillId="0" borderId="10" xfId="0" applyBorder="1">
      <alignment vertical="center"/>
    </xf>
    <xf numFmtId="0" fontId="0" fillId="0" borderId="10" xfId="0" applyBorder="1" applyAlignment="1">
      <alignment horizontal="center" vertical="center"/>
    </xf>
    <xf numFmtId="178" fontId="0" fillId="0" borderId="10" xfId="0" applyNumberFormat="1" applyBorder="1" applyAlignment="1">
      <alignment horizontal="center" vertical="center"/>
    </xf>
    <xf numFmtId="0" fontId="22" fillId="0" borderId="10" xfId="0" applyFont="1" applyBorder="1" applyAlignment="1">
      <alignment horizontal="center" vertical="center"/>
    </xf>
    <xf numFmtId="178" fontId="22" fillId="0" borderId="10" xfId="0" applyNumberFormat="1" applyFont="1" applyBorder="1" applyAlignment="1">
      <alignment horizontal="center" vertical="center"/>
    </xf>
    <xf numFmtId="178" fontId="25" fillId="0" borderId="10" xfId="0" applyNumberFormat="1" applyFont="1" applyBorder="1" applyAlignment="1">
      <alignment horizontal="center" vertical="center"/>
    </xf>
    <xf numFmtId="178" fontId="26" fillId="0" borderId="10" xfId="0" applyNumberFormat="1" applyFont="1" applyBorder="1" applyAlignment="1">
      <alignment horizontal="center" vertical="center"/>
    </xf>
    <xf numFmtId="0" fontId="20" fillId="0" borderId="10" xfId="0" applyFont="1" applyBorder="1" applyAlignment="1">
      <alignment horizontal="center" vertical="center"/>
    </xf>
    <xf numFmtId="0" fontId="22" fillId="0" borderId="11" xfId="0" applyFont="1" applyFill="1" applyBorder="1" applyAlignment="1">
      <alignment horizontal="center" vertical="center"/>
    </xf>
    <xf numFmtId="0" fontId="0" fillId="0" borderId="12" xfId="0" applyBorder="1" applyAlignment="1">
      <alignment horizontal="center" vertical="center"/>
    </xf>
    <xf numFmtId="0" fontId="0" fillId="0" borderId="13" xfId="0" applyBorder="1" applyAlignment="1">
      <alignment horizontal="center" vertical="center"/>
    </xf>
    <xf numFmtId="0" fontId="0" fillId="24" borderId="12" xfId="0" applyFill="1" applyBorder="1" applyAlignment="1">
      <alignment horizontal="center" vertical="center"/>
    </xf>
    <xf numFmtId="0" fontId="0" fillId="24" borderId="13" xfId="0" applyFill="1" applyBorder="1" applyAlignment="1">
      <alignment horizontal="center" vertical="center"/>
    </xf>
    <xf numFmtId="0" fontId="22" fillId="0" borderId="12" xfId="0" applyFont="1" applyBorder="1" applyAlignment="1">
      <alignment horizontal="center" vertical="center"/>
    </xf>
    <xf numFmtId="178" fontId="22" fillId="0" borderId="13" xfId="0" applyNumberFormat="1" applyFont="1" applyBorder="1" applyAlignment="1">
      <alignment horizontal="center" vertical="center"/>
    </xf>
    <xf numFmtId="0" fontId="25" fillId="0" borderId="12" xfId="0" applyFont="1" applyBorder="1" applyAlignment="1">
      <alignment horizontal="center" vertical="center"/>
    </xf>
    <xf numFmtId="178" fontId="25" fillId="0" borderId="13" xfId="0" applyNumberFormat="1" applyFont="1" applyBorder="1" applyAlignment="1">
      <alignment horizontal="center" vertical="center"/>
    </xf>
    <xf numFmtId="0" fontId="26" fillId="0" borderId="12" xfId="0" applyFont="1" applyBorder="1" applyAlignment="1">
      <alignment horizontal="center" vertical="center"/>
    </xf>
    <xf numFmtId="178" fontId="26" fillId="0" borderId="13" xfId="0" applyNumberFormat="1" applyFont="1" applyBorder="1" applyAlignment="1">
      <alignment horizontal="center" vertical="center"/>
    </xf>
    <xf numFmtId="0" fontId="20" fillId="0" borderId="14" xfId="0" applyFont="1" applyBorder="1" applyAlignment="1">
      <alignment horizontal="center" vertical="center"/>
    </xf>
    <xf numFmtId="0" fontId="20" fillId="0" borderId="15" xfId="0" applyFont="1" applyBorder="1" applyAlignment="1">
      <alignment horizontal="center" vertical="center"/>
    </xf>
    <xf numFmtId="0" fontId="20" fillId="0" borderId="16" xfId="0" applyFont="1" applyBorder="1" applyAlignment="1">
      <alignment horizontal="center" vertical="center"/>
    </xf>
    <xf numFmtId="0" fontId="0" fillId="0" borderId="12" xfId="0" applyBorder="1">
      <alignment vertical="center"/>
    </xf>
    <xf numFmtId="0" fontId="0" fillId="0" borderId="13" xfId="0" applyBorder="1">
      <alignment vertical="center"/>
    </xf>
    <xf numFmtId="0" fontId="0" fillId="0" borderId="14" xfId="0" applyBorder="1">
      <alignment vertical="center"/>
    </xf>
    <xf numFmtId="0" fontId="0" fillId="0" borderId="15" xfId="0" applyBorder="1">
      <alignment vertical="center"/>
    </xf>
    <xf numFmtId="0" fontId="0" fillId="0" borderId="16" xfId="0" applyBorder="1">
      <alignment vertical="center"/>
    </xf>
    <xf numFmtId="0" fontId="0" fillId="0" borderId="17" xfId="0" applyFill="1" applyBorder="1" applyAlignment="1">
      <alignment horizontal="center" vertical="center"/>
    </xf>
    <xf numFmtId="0" fontId="0" fillId="0" borderId="11" xfId="0" applyFill="1" applyBorder="1" applyAlignment="1">
      <alignment horizontal="center" vertical="center"/>
    </xf>
    <xf numFmtId="0" fontId="0" fillId="0" borderId="14" xfId="0" applyBorder="1" applyAlignment="1">
      <alignment horizontal="center" vertical="center"/>
    </xf>
    <xf numFmtId="0" fontId="0" fillId="0" borderId="15" xfId="0" applyBorder="1" applyAlignment="1">
      <alignment horizontal="center" vertical="center"/>
    </xf>
    <xf numFmtId="0" fontId="0" fillId="0" borderId="16" xfId="0" applyBorder="1" applyAlignment="1">
      <alignment horizontal="center" vertical="center"/>
    </xf>
    <xf numFmtId="0" fontId="0" fillId="0" borderId="12" xfId="0" applyFill="1" applyBorder="1" applyAlignment="1">
      <alignment horizontal="center" vertical="center"/>
    </xf>
    <xf numFmtId="0" fontId="0" fillId="0" borderId="13" xfId="0" applyFill="1" applyBorder="1" applyAlignment="1">
      <alignment horizontal="center" vertical="center"/>
    </xf>
    <xf numFmtId="0" fontId="0" fillId="0" borderId="14" xfId="0" applyFill="1" applyBorder="1" applyAlignment="1">
      <alignment horizontal="center" vertical="center"/>
    </xf>
    <xf numFmtId="0" fontId="0" fillId="0" borderId="15" xfId="0" applyFill="1" applyBorder="1" applyAlignment="1">
      <alignment horizontal="center" vertical="center"/>
    </xf>
    <xf numFmtId="0" fontId="22" fillId="0" borderId="10" xfId="0" applyFont="1" applyFill="1" applyBorder="1" applyAlignment="1">
      <alignment horizontal="center" vertical="center"/>
    </xf>
    <xf numFmtId="0" fontId="22" fillId="0" borderId="15" xfId="0" applyFont="1" applyFill="1" applyBorder="1" applyAlignment="1">
      <alignment horizontal="center" vertical="center"/>
    </xf>
    <xf numFmtId="0" fontId="27" fillId="0" borderId="10" xfId="0" applyFont="1" applyBorder="1" applyAlignment="1">
      <alignment horizontal="center" vertical="center"/>
    </xf>
    <xf numFmtId="0" fontId="0" fillId="0" borderId="18" xfId="0" applyBorder="1" applyAlignment="1">
      <alignment horizontal="center" vertical="center"/>
    </xf>
    <xf numFmtId="0" fontId="0" fillId="0" borderId="19" xfId="0" applyBorder="1" applyAlignment="1">
      <alignment horizontal="center" vertical="center"/>
    </xf>
    <xf numFmtId="0" fontId="22" fillId="24" borderId="10" xfId="0" applyFont="1" applyFill="1" applyBorder="1">
      <alignment vertical="center"/>
    </xf>
    <xf numFmtId="0" fontId="0" fillId="24" borderId="13" xfId="0" applyFill="1" applyBorder="1">
      <alignment vertical="center"/>
    </xf>
    <xf numFmtId="0" fontId="0" fillId="26" borderId="10" xfId="0" applyFill="1" applyBorder="1">
      <alignment vertical="center"/>
    </xf>
    <xf numFmtId="0" fontId="0" fillId="26" borderId="13" xfId="0" applyFill="1" applyBorder="1">
      <alignment vertical="center"/>
    </xf>
    <xf numFmtId="176" fontId="22" fillId="0" borderId="10" xfId="0" applyNumberFormat="1" applyFont="1" applyFill="1" applyBorder="1" applyAlignment="1">
      <alignment horizontal="center" vertical="center"/>
    </xf>
    <xf numFmtId="176" fontId="27" fillId="0" borderId="10" xfId="0" applyNumberFormat="1" applyFont="1" applyFill="1" applyBorder="1" applyAlignment="1">
      <alignment horizontal="center" vertical="center"/>
    </xf>
    <xf numFmtId="176" fontId="20" fillId="0" borderId="10" xfId="0" applyNumberFormat="1" applyFont="1" applyFill="1" applyBorder="1" applyAlignment="1">
      <alignment horizontal="center" vertical="center"/>
    </xf>
    <xf numFmtId="176" fontId="22" fillId="0" borderId="10" xfId="0" applyNumberFormat="1" applyFont="1" applyBorder="1" applyAlignment="1">
      <alignment horizontal="center" vertical="center"/>
    </xf>
    <xf numFmtId="176" fontId="27" fillId="0" borderId="10" xfId="0" applyNumberFormat="1" applyFont="1" applyBorder="1" applyAlignment="1">
      <alignment horizontal="center" vertical="center"/>
    </xf>
    <xf numFmtId="176" fontId="20" fillId="0" borderId="10" xfId="0" applyNumberFormat="1" applyFont="1" applyBorder="1" applyAlignment="1">
      <alignment horizontal="center" vertical="center"/>
    </xf>
    <xf numFmtId="0" fontId="0" fillId="0" borderId="0" xfId="0" applyBorder="1" applyAlignment="1">
      <alignment horizontal="center" vertical="center"/>
    </xf>
    <xf numFmtId="10" fontId="0" fillId="0" borderId="13" xfId="24" applyNumberFormat="1" applyFont="1" applyBorder="1" applyAlignment="1">
      <alignment horizontal="center" vertical="center"/>
    </xf>
    <xf numFmtId="10" fontId="0" fillId="0" borderId="16" xfId="24" applyNumberFormat="1" applyFont="1" applyBorder="1" applyAlignment="1">
      <alignment horizontal="center" vertical="center"/>
    </xf>
    <xf numFmtId="0" fontId="0" fillId="25" borderId="17" xfId="0" applyFill="1" applyBorder="1" applyAlignment="1">
      <alignment horizontal="center" vertical="center"/>
    </xf>
    <xf numFmtId="0" fontId="0" fillId="25" borderId="11" xfId="0" applyFill="1" applyBorder="1" applyAlignment="1">
      <alignment horizontal="center" vertical="center"/>
    </xf>
    <xf numFmtId="0" fontId="0" fillId="25" borderId="20" xfId="0" applyFill="1" applyBorder="1" applyAlignment="1">
      <alignment horizontal="center" vertical="center"/>
    </xf>
    <xf numFmtId="0" fontId="0" fillId="25" borderId="12" xfId="0" applyFill="1" applyBorder="1" applyAlignment="1">
      <alignment horizontal="center" vertical="center"/>
    </xf>
    <xf numFmtId="0" fontId="0" fillId="25" borderId="13" xfId="0" applyFill="1" applyBorder="1">
      <alignment vertical="center"/>
    </xf>
    <xf numFmtId="0" fontId="0" fillId="25" borderId="12" xfId="0" applyFill="1" applyBorder="1">
      <alignment vertical="center"/>
    </xf>
    <xf numFmtId="0" fontId="0" fillId="25" borderId="10" xfId="0" applyFill="1" applyBorder="1">
      <alignment vertical="center"/>
    </xf>
    <xf numFmtId="0" fontId="0" fillId="25" borderId="14" xfId="0" applyFill="1" applyBorder="1">
      <alignment vertical="center"/>
    </xf>
    <xf numFmtId="0" fontId="0" fillId="25" borderId="15" xfId="0" applyFill="1" applyBorder="1">
      <alignment vertical="center"/>
    </xf>
    <xf numFmtId="0" fontId="0" fillId="25" borderId="16" xfId="0" applyFill="1" applyBorder="1">
      <alignment vertical="center"/>
    </xf>
    <xf numFmtId="0" fontId="1" fillId="0" borderId="11" xfId="0" applyFont="1" applyFill="1" applyBorder="1" applyAlignment="1">
      <alignment horizontal="center" vertical="center"/>
    </xf>
    <xf numFmtId="0" fontId="1" fillId="0" borderId="12" xfId="0" applyFont="1" applyFill="1" applyBorder="1" applyAlignment="1">
      <alignment horizontal="center" vertical="center"/>
    </xf>
    <xf numFmtId="10" fontId="1" fillId="0" borderId="10" xfId="24" applyNumberFormat="1" applyFont="1" applyFill="1" applyBorder="1" applyAlignment="1">
      <alignment horizontal="center" vertical="center"/>
    </xf>
    <xf numFmtId="0" fontId="1" fillId="0" borderId="13" xfId="0" applyFont="1" applyFill="1" applyBorder="1" applyAlignment="1">
      <alignment horizontal="center" vertical="center"/>
    </xf>
    <xf numFmtId="0" fontId="1" fillId="27" borderId="12" xfId="0" applyFont="1" applyFill="1" applyBorder="1" applyAlignment="1">
      <alignment horizontal="center" vertical="center"/>
    </xf>
    <xf numFmtId="10" fontId="1" fillId="27" borderId="10" xfId="24" applyNumberFormat="1" applyFont="1" applyFill="1" applyBorder="1" applyAlignment="1">
      <alignment horizontal="center" vertical="center"/>
    </xf>
    <xf numFmtId="10" fontId="1" fillId="0" borderId="13" xfId="24" applyNumberFormat="1" applyFont="1" applyFill="1" applyBorder="1" applyAlignment="1">
      <alignment horizontal="center" vertical="center"/>
    </xf>
    <xf numFmtId="0" fontId="1" fillId="0" borderId="15" xfId="0" applyFont="1" applyFill="1" applyBorder="1" applyAlignment="1">
      <alignment horizontal="center" vertical="center"/>
    </xf>
    <xf numFmtId="176" fontId="0" fillId="0" borderId="13" xfId="24" applyNumberFormat="1" applyFont="1" applyBorder="1" applyAlignment="1">
      <alignment horizontal="center" vertical="center"/>
    </xf>
    <xf numFmtId="0" fontId="0" fillId="0" borderId="17" xfId="0" applyBorder="1" applyAlignment="1">
      <alignment horizontal="center" vertical="center"/>
    </xf>
    <xf numFmtId="10" fontId="0" fillId="0" borderId="20" xfId="24" applyNumberFormat="1" applyFont="1" applyBorder="1" applyAlignment="1">
      <alignment horizontal="center" vertical="center"/>
    </xf>
    <xf numFmtId="0" fontId="22" fillId="0" borderId="0" xfId="0" applyFont="1" applyFill="1" applyBorder="1" applyAlignment="1">
      <alignment horizontal="center" vertical="center"/>
    </xf>
    <xf numFmtId="0" fontId="1" fillId="0" borderId="16" xfId="0" applyFont="1" applyFill="1" applyBorder="1" applyAlignment="1">
      <alignment horizontal="center" vertical="center"/>
    </xf>
    <xf numFmtId="3" fontId="0" fillId="0" borderId="10" xfId="0" applyNumberFormat="1" applyBorder="1" applyAlignment="1">
      <alignment horizontal="center" vertical="center"/>
    </xf>
    <xf numFmtId="0" fontId="0" fillId="0" borderId="21" xfId="0" applyBorder="1" applyAlignment="1">
      <alignment horizontal="center" vertical="center"/>
    </xf>
    <xf numFmtId="0" fontId="0" fillId="0" borderId="22" xfId="0" applyBorder="1" applyAlignment="1">
      <alignment horizontal="center" vertical="center"/>
    </xf>
    <xf numFmtId="0" fontId="0" fillId="0" borderId="23" xfId="0" applyBorder="1" applyAlignment="1">
      <alignment horizontal="center" vertical="center"/>
    </xf>
    <xf numFmtId="0" fontId="0" fillId="0" borderId="24" xfId="0" applyBorder="1" applyAlignment="1">
      <alignment horizontal="center" vertical="center"/>
    </xf>
    <xf numFmtId="0" fontId="0" fillId="0" borderId="25" xfId="0" applyBorder="1" applyAlignment="1">
      <alignment horizontal="center" vertical="center"/>
    </xf>
    <xf numFmtId="0" fontId="0" fillId="0" borderId="26" xfId="0" applyBorder="1" applyAlignment="1">
      <alignment horizontal="center" vertical="center"/>
    </xf>
    <xf numFmtId="0" fontId="0" fillId="0" borderId="27" xfId="0" applyBorder="1" applyAlignment="1">
      <alignment horizontal="center" vertical="center"/>
    </xf>
    <xf numFmtId="0" fontId="0" fillId="0" borderId="28" xfId="0" applyBorder="1" applyAlignment="1">
      <alignment horizontal="center" vertical="center"/>
    </xf>
    <xf numFmtId="0" fontId="0" fillId="0" borderId="29" xfId="0" applyBorder="1" applyAlignment="1">
      <alignment horizontal="center" vertical="center"/>
    </xf>
    <xf numFmtId="0" fontId="0" fillId="0" borderId="30" xfId="0" applyBorder="1" applyAlignment="1">
      <alignment horizontal="center" vertical="center"/>
    </xf>
    <xf numFmtId="0" fontId="0" fillId="0" borderId="31" xfId="0" applyBorder="1" applyAlignment="1">
      <alignment horizontal="center" vertical="center"/>
    </xf>
    <xf numFmtId="0" fontId="0" fillId="0" borderId="32" xfId="0" applyBorder="1" applyAlignment="1">
      <alignment horizontal="center" vertical="center"/>
    </xf>
    <xf numFmtId="0" fontId="0" fillId="0" borderId="33" xfId="0" applyBorder="1" applyAlignment="1">
      <alignment horizontal="center" vertical="center"/>
    </xf>
    <xf numFmtId="0" fontId="0" fillId="0" borderId="34" xfId="0" applyBorder="1" applyAlignment="1">
      <alignment horizontal="center" vertical="center"/>
    </xf>
    <xf numFmtId="0" fontId="0" fillId="0" borderId="35" xfId="0" applyBorder="1" applyAlignment="1">
      <alignment horizontal="center" vertical="center"/>
    </xf>
    <xf numFmtId="0" fontId="22" fillId="24" borderId="10" xfId="0" applyFont="1" applyFill="1" applyBorder="1" applyAlignment="1">
      <alignment horizontal="center" vertical="center"/>
    </xf>
    <xf numFmtId="0" fontId="22" fillId="24" borderId="12" xfId="0" applyFont="1" applyFill="1" applyBorder="1" applyAlignment="1">
      <alignment horizontal="center" vertical="center"/>
    </xf>
    <xf numFmtId="20" fontId="22" fillId="24" borderId="10" xfId="0" applyNumberFormat="1" applyFont="1" applyFill="1" applyBorder="1" applyAlignment="1">
      <alignment horizontal="center" vertical="center"/>
    </xf>
    <xf numFmtId="3" fontId="22" fillId="24" borderId="10" xfId="0" applyNumberFormat="1" applyFont="1" applyFill="1" applyBorder="1" applyAlignment="1">
      <alignment horizontal="center" vertical="center"/>
    </xf>
    <xf numFmtId="0" fontId="22" fillId="24" borderId="13" xfId="0" applyFont="1" applyFill="1" applyBorder="1" applyAlignment="1">
      <alignment horizontal="center" vertical="center"/>
    </xf>
    <xf numFmtId="14" fontId="0" fillId="0" borderId="10" xfId="0" applyNumberFormat="1" applyBorder="1" applyAlignment="1">
      <alignment horizontal="center" vertical="center"/>
    </xf>
    <xf numFmtId="10" fontId="0" fillId="0" borderId="10" xfId="0" applyNumberFormat="1" applyBorder="1" applyAlignment="1">
      <alignment horizontal="center" vertical="center"/>
    </xf>
    <xf numFmtId="10" fontId="22" fillId="24" borderId="10" xfId="0" applyNumberFormat="1" applyFont="1" applyFill="1" applyBorder="1" applyAlignment="1">
      <alignment horizontal="center" vertical="center"/>
    </xf>
    <xf numFmtId="10" fontId="22" fillId="0" borderId="13" xfId="24" applyNumberFormat="1" applyFont="1" applyBorder="1" applyAlignment="1">
      <alignment horizontal="center" vertical="center"/>
    </xf>
    <xf numFmtId="3" fontId="0" fillId="0" borderId="13" xfId="0" applyNumberFormat="1" applyBorder="1" applyAlignment="1">
      <alignment horizontal="center" vertical="center"/>
    </xf>
    <xf numFmtId="178" fontId="0" fillId="0" borderId="13" xfId="24" applyNumberFormat="1" applyFont="1" applyBorder="1" applyAlignment="1">
      <alignment horizontal="center" vertical="center"/>
    </xf>
    <xf numFmtId="4" fontId="1" fillId="0" borderId="20" xfId="0" applyNumberFormat="1" applyFont="1" applyFill="1" applyBorder="1" applyAlignment="1">
      <alignment horizontal="center" vertical="center"/>
    </xf>
    <xf numFmtId="4" fontId="22" fillId="24" borderId="10" xfId="0" applyNumberFormat="1" applyFont="1" applyFill="1" applyBorder="1" applyAlignment="1">
      <alignment horizontal="center" vertical="center"/>
    </xf>
    <xf numFmtId="9" fontId="22" fillId="24" borderId="10" xfId="0" applyNumberFormat="1" applyFont="1" applyFill="1" applyBorder="1" applyAlignment="1">
      <alignment horizontal="center" vertical="center"/>
    </xf>
    <xf numFmtId="0" fontId="0" fillId="24" borderId="10" xfId="0" applyFill="1" applyBorder="1" applyAlignment="1">
      <alignment horizontal="center" vertical="center" wrapText="1"/>
    </xf>
    <xf numFmtId="178" fontId="0" fillId="0" borderId="10" xfId="0" applyNumberFormat="1" applyFill="1" applyBorder="1" applyAlignment="1">
      <alignment horizontal="center" vertical="center"/>
    </xf>
    <xf numFmtId="4" fontId="0" fillId="0" borderId="10" xfId="0" applyNumberFormat="1" applyFill="1" applyBorder="1" applyAlignment="1">
      <alignment horizontal="center" vertical="center"/>
    </xf>
    <xf numFmtId="10" fontId="0" fillId="0" borderId="10" xfId="0" applyNumberFormat="1" applyFill="1" applyBorder="1" applyAlignment="1">
      <alignment horizontal="center" vertical="center"/>
    </xf>
    <xf numFmtId="0" fontId="0" fillId="25" borderId="10" xfId="0" applyFill="1" applyBorder="1" applyAlignment="1">
      <alignment horizontal="center" vertical="center" wrapText="1"/>
    </xf>
    <xf numFmtId="49" fontId="0" fillId="25" borderId="10" xfId="0" applyNumberFormat="1" applyFill="1" applyBorder="1" applyAlignment="1">
      <alignment horizontal="center" vertical="center"/>
    </xf>
    <xf numFmtId="0" fontId="28" fillId="0" borderId="10" xfId="28" applyFont="1" applyBorder="1" applyAlignment="1" applyProtection="1">
      <alignment horizontal="center" vertical="center"/>
    </xf>
    <xf numFmtId="49" fontId="0" fillId="0" borderId="0" xfId="0" applyNumberFormat="1">
      <alignment vertical="center"/>
    </xf>
    <xf numFmtId="4" fontId="1" fillId="0" borderId="10" xfId="0" applyNumberFormat="1" applyFont="1" applyFill="1" applyBorder="1" applyAlignment="1">
      <alignment horizontal="center" vertical="center"/>
    </xf>
    <xf numFmtId="0" fontId="1" fillId="0" borderId="10" xfId="0" applyFont="1" applyFill="1" applyBorder="1" applyAlignment="1">
      <alignment horizontal="center" vertical="center"/>
    </xf>
    <xf numFmtId="10" fontId="1" fillId="0" borderId="10" xfId="0" applyNumberFormat="1" applyFont="1" applyFill="1" applyBorder="1" applyAlignment="1">
      <alignment horizontal="center" vertical="center"/>
    </xf>
    <xf numFmtId="178" fontId="1" fillId="0" borderId="10" xfId="0" applyNumberFormat="1" applyFont="1" applyFill="1" applyBorder="1" applyAlignment="1">
      <alignment horizontal="center" vertical="center"/>
    </xf>
    <xf numFmtId="0" fontId="0" fillId="25" borderId="36" xfId="0" applyFill="1" applyBorder="1" applyAlignment="1">
      <alignment horizontal="center" vertical="center"/>
    </xf>
    <xf numFmtId="176" fontId="7" fillId="0" borderId="10" xfId="0" applyNumberFormat="1" applyFont="1" applyFill="1" applyBorder="1" applyAlignment="1">
      <alignment horizontal="center" vertical="center"/>
    </xf>
    <xf numFmtId="177" fontId="0" fillId="25" borderId="37" xfId="0" applyNumberFormat="1" applyFill="1" applyBorder="1" applyAlignment="1">
      <alignment horizontal="center" vertical="center"/>
    </xf>
    <xf numFmtId="0" fontId="0" fillId="28" borderId="12" xfId="0" applyFill="1" applyBorder="1" applyAlignment="1">
      <alignment horizontal="center" vertical="center"/>
    </xf>
    <xf numFmtId="0" fontId="0" fillId="28" borderId="10" xfId="0" applyFill="1" applyBorder="1" applyAlignment="1">
      <alignment horizontal="center" vertical="center"/>
    </xf>
    <xf numFmtId="0" fontId="0" fillId="28" borderId="13" xfId="0" applyFill="1" applyBorder="1" applyAlignment="1">
      <alignment horizontal="center" vertical="center"/>
    </xf>
    <xf numFmtId="0" fontId="0" fillId="24" borderId="14" xfId="0" applyFill="1" applyBorder="1" applyAlignment="1">
      <alignment horizontal="center" vertical="center"/>
    </xf>
    <xf numFmtId="0" fontId="22" fillId="24" borderId="15" xfId="0" applyFont="1" applyFill="1" applyBorder="1" applyAlignment="1">
      <alignment horizontal="center" vertical="center"/>
    </xf>
    <xf numFmtId="0" fontId="0" fillId="24" borderId="15" xfId="0" applyFill="1" applyBorder="1" applyAlignment="1">
      <alignment horizontal="center" vertical="center"/>
    </xf>
    <xf numFmtId="0" fontId="0" fillId="24" borderId="16" xfId="0" applyFill="1" applyBorder="1" applyAlignment="1">
      <alignment horizontal="center" vertical="center"/>
    </xf>
    <xf numFmtId="0" fontId="29" fillId="0" borderId="12" xfId="0" applyFont="1" applyBorder="1" applyAlignment="1">
      <alignment horizontal="center" vertical="center"/>
    </xf>
    <xf numFmtId="0" fontId="0" fillId="25" borderId="38" xfId="0" applyFill="1" applyBorder="1" applyAlignment="1">
      <alignment horizontal="center" vertical="center" wrapText="1"/>
    </xf>
    <xf numFmtId="9" fontId="0" fillId="0" borderId="10" xfId="0" applyNumberFormat="1" applyBorder="1" applyAlignment="1">
      <alignment horizontal="center" vertical="center"/>
    </xf>
    <xf numFmtId="0" fontId="22" fillId="0" borderId="22" xfId="0" applyFont="1" applyBorder="1" applyAlignment="1">
      <alignment horizontal="center" vertical="center"/>
    </xf>
    <xf numFmtId="0" fontId="22" fillId="0" borderId="23" xfId="0" applyFont="1" applyBorder="1" applyAlignment="1">
      <alignment horizontal="center" vertical="center"/>
    </xf>
    <xf numFmtId="0" fontId="22" fillId="0" borderId="39" xfId="0" applyFont="1" applyBorder="1" applyAlignment="1">
      <alignment horizontal="center" vertical="center"/>
    </xf>
    <xf numFmtId="0" fontId="0" fillId="0" borderId="22" xfId="0" applyBorder="1" applyAlignment="1">
      <alignment horizontal="center" vertical="center"/>
    </xf>
    <xf numFmtId="0" fontId="0" fillId="0" borderId="23" xfId="0" applyBorder="1" applyAlignment="1">
      <alignment horizontal="center" vertical="center"/>
    </xf>
    <xf numFmtId="0" fontId="0" fillId="0" borderId="39" xfId="0" applyBorder="1" applyAlignment="1">
      <alignment horizontal="center" vertical="center"/>
    </xf>
    <xf numFmtId="0" fontId="0" fillId="24" borderId="10" xfId="0" applyFill="1" applyBorder="1" applyAlignment="1">
      <alignment horizontal="center" vertical="center"/>
    </xf>
    <xf numFmtId="0" fontId="0" fillId="0" borderId="10" xfId="0" applyFill="1" applyBorder="1" applyAlignment="1">
      <alignment horizontal="center" vertical="center" wrapText="1"/>
    </xf>
    <xf numFmtId="0" fontId="0" fillId="0" borderId="10" xfId="0" applyBorder="1" applyAlignment="1">
      <alignment horizontal="center" vertical="center"/>
    </xf>
    <xf numFmtId="0" fontId="0" fillId="24" borderId="10" xfId="0" applyFill="1" applyBorder="1" applyAlignment="1">
      <alignment horizontal="center" vertical="center" wrapText="1"/>
    </xf>
    <xf numFmtId="0" fontId="0" fillId="25" borderId="36" xfId="0" applyFill="1" applyBorder="1" applyAlignment="1">
      <alignment horizontal="center" vertical="center"/>
    </xf>
    <xf numFmtId="0" fontId="0" fillId="25" borderId="37" xfId="0" applyFill="1" applyBorder="1" applyAlignment="1">
      <alignment horizontal="center" vertical="center"/>
    </xf>
    <xf numFmtId="0" fontId="0" fillId="0" borderId="10" xfId="0" applyBorder="1" applyAlignment="1">
      <alignment horizontal="center" vertical="center" wrapText="1"/>
    </xf>
    <xf numFmtId="0" fontId="0" fillId="24" borderId="17" xfId="0" applyFill="1" applyBorder="1" applyAlignment="1">
      <alignment horizontal="center" vertical="center"/>
    </xf>
    <xf numFmtId="0" fontId="0" fillId="24" borderId="11" xfId="0" applyFill="1" applyBorder="1" applyAlignment="1">
      <alignment horizontal="center" vertical="center"/>
    </xf>
    <xf numFmtId="0" fontId="0" fillId="24" borderId="20" xfId="0" applyFill="1" applyBorder="1" applyAlignment="1">
      <alignment horizontal="center" vertical="center"/>
    </xf>
    <xf numFmtId="0" fontId="0" fillId="26" borderId="44" xfId="0" applyFill="1" applyBorder="1" applyAlignment="1">
      <alignment horizontal="center" vertical="center"/>
    </xf>
    <xf numFmtId="0" fontId="0" fillId="26" borderId="45" xfId="0" applyFill="1" applyBorder="1" applyAlignment="1">
      <alignment horizontal="center" vertical="center"/>
    </xf>
    <xf numFmtId="0" fontId="0" fillId="24" borderId="12" xfId="0" applyFill="1" applyBorder="1" applyAlignment="1">
      <alignment horizontal="center" vertical="center"/>
    </xf>
    <xf numFmtId="0" fontId="0" fillId="24" borderId="28" xfId="0" applyFill="1" applyBorder="1" applyAlignment="1">
      <alignment horizontal="center" vertical="center"/>
    </xf>
    <xf numFmtId="0" fontId="0" fillId="24" borderId="21" xfId="0" applyFill="1" applyBorder="1" applyAlignment="1">
      <alignment horizontal="center" vertical="center"/>
    </xf>
    <xf numFmtId="0" fontId="0" fillId="24" borderId="46" xfId="0" applyFill="1" applyBorder="1" applyAlignment="1">
      <alignment horizontal="center" vertical="center"/>
    </xf>
    <xf numFmtId="0" fontId="0" fillId="24" borderId="32" xfId="0" applyFill="1" applyBorder="1" applyAlignment="1">
      <alignment horizontal="center" vertical="center"/>
    </xf>
    <xf numFmtId="0" fontId="0" fillId="24" borderId="0" xfId="0" applyFill="1" applyBorder="1" applyAlignment="1">
      <alignment horizontal="center" vertical="center"/>
    </xf>
    <xf numFmtId="0" fontId="0" fillId="24" borderId="47" xfId="0" applyFill="1" applyBorder="1" applyAlignment="1">
      <alignment horizontal="center" vertical="center"/>
    </xf>
    <xf numFmtId="0" fontId="0" fillId="24" borderId="29" xfId="0" applyFill="1" applyBorder="1" applyAlignment="1">
      <alignment horizontal="center" vertical="center"/>
    </xf>
    <xf numFmtId="0" fontId="0" fillId="24" borderId="30" xfId="0" applyFill="1" applyBorder="1" applyAlignment="1">
      <alignment horizontal="center" vertical="center"/>
    </xf>
    <xf numFmtId="0" fontId="0" fillId="24" borderId="48" xfId="0" applyFill="1" applyBorder="1" applyAlignment="1">
      <alignment horizontal="center" vertical="center"/>
    </xf>
    <xf numFmtId="0" fontId="22" fillId="0" borderId="17" xfId="0" applyFont="1" applyFill="1" applyBorder="1" applyAlignment="1">
      <alignment horizontal="center" vertical="center"/>
    </xf>
    <xf numFmtId="0" fontId="22" fillId="0" borderId="11" xfId="0" applyFont="1" applyFill="1" applyBorder="1" applyAlignment="1">
      <alignment horizontal="center" vertical="center"/>
    </xf>
    <xf numFmtId="0" fontId="22" fillId="0" borderId="20" xfId="0" applyFont="1" applyFill="1" applyBorder="1" applyAlignment="1">
      <alignment horizontal="center" vertical="center"/>
    </xf>
    <xf numFmtId="0" fontId="0" fillId="0" borderId="43" xfId="0" applyFill="1" applyBorder="1" applyAlignment="1">
      <alignment horizontal="center" vertical="center"/>
    </xf>
    <xf numFmtId="0" fontId="0" fillId="0" borderId="23" xfId="0" applyFill="1" applyBorder="1" applyAlignment="1">
      <alignment horizontal="center" vertical="center"/>
    </xf>
    <xf numFmtId="0" fontId="0" fillId="0" borderId="24" xfId="0" applyFill="1" applyBorder="1" applyAlignment="1">
      <alignment horizontal="center" vertical="center"/>
    </xf>
    <xf numFmtId="0" fontId="0" fillId="26" borderId="12" xfId="0" applyFill="1" applyBorder="1" applyAlignment="1">
      <alignment horizontal="center" vertical="center"/>
    </xf>
    <xf numFmtId="0" fontId="0" fillId="26" borderId="10" xfId="0" applyFill="1" applyBorder="1" applyAlignment="1">
      <alignment horizontal="center" vertical="center"/>
    </xf>
    <xf numFmtId="0" fontId="22" fillId="0" borderId="17" xfId="0" applyFont="1" applyBorder="1" applyAlignment="1">
      <alignment horizontal="center" vertical="center"/>
    </xf>
    <xf numFmtId="0" fontId="22" fillId="0" borderId="11" xfId="0" applyFont="1" applyBorder="1" applyAlignment="1">
      <alignment horizontal="center" vertical="center"/>
    </xf>
    <xf numFmtId="0" fontId="22" fillId="0" borderId="20" xfId="0" applyFont="1" applyBorder="1" applyAlignment="1">
      <alignment horizontal="center" vertical="center"/>
    </xf>
    <xf numFmtId="0" fontId="0" fillId="0" borderId="28" xfId="0" applyBorder="1" applyAlignment="1">
      <alignment horizontal="center" vertical="center"/>
    </xf>
    <xf numFmtId="0" fontId="0" fillId="0" borderId="21" xfId="0" applyBorder="1" applyAlignment="1">
      <alignment horizontal="center" vertical="center"/>
    </xf>
    <xf numFmtId="0" fontId="0" fillId="0" borderId="46" xfId="0" applyBorder="1" applyAlignment="1">
      <alignment horizontal="center" vertical="center"/>
    </xf>
    <xf numFmtId="0" fontId="0" fillId="0" borderId="29" xfId="0" applyBorder="1" applyAlignment="1">
      <alignment horizontal="center" vertical="center"/>
    </xf>
    <xf numFmtId="0" fontId="0" fillId="0" borderId="30" xfId="0" applyBorder="1" applyAlignment="1">
      <alignment horizontal="center" vertical="center"/>
    </xf>
    <xf numFmtId="0" fontId="0" fillId="0" borderId="48" xfId="0" applyBorder="1" applyAlignment="1">
      <alignment horizontal="center" vertical="center"/>
    </xf>
    <xf numFmtId="0" fontId="22" fillId="0" borderId="40" xfId="0" applyFont="1" applyBorder="1" applyAlignment="1">
      <alignment horizontal="center" vertical="center"/>
    </xf>
    <xf numFmtId="0" fontId="22" fillId="0" borderId="41" xfId="0" applyFont="1" applyBorder="1" applyAlignment="1">
      <alignment horizontal="center" vertical="center"/>
    </xf>
    <xf numFmtId="0" fontId="22" fillId="0" borderId="42" xfId="0" applyFont="1" applyBorder="1" applyAlignment="1">
      <alignment horizontal="center" vertical="center"/>
    </xf>
    <xf numFmtId="0" fontId="0" fillId="26" borderId="28" xfId="0" applyFill="1" applyBorder="1" applyAlignment="1">
      <alignment horizontal="center" vertical="center"/>
    </xf>
    <xf numFmtId="0" fontId="0" fillId="26" borderId="21" xfId="0" applyFill="1" applyBorder="1" applyAlignment="1">
      <alignment horizontal="center" vertical="center"/>
    </xf>
    <xf numFmtId="0" fontId="0" fillId="26" borderId="46" xfId="0" applyFill="1" applyBorder="1" applyAlignment="1">
      <alignment horizontal="center" vertical="center"/>
    </xf>
    <xf numFmtId="0" fontId="0" fillId="26" borderId="32" xfId="0" applyFill="1" applyBorder="1" applyAlignment="1">
      <alignment horizontal="center" vertical="center"/>
    </xf>
    <xf numFmtId="0" fontId="0" fillId="26" borderId="0" xfId="0" applyFill="1" applyBorder="1" applyAlignment="1">
      <alignment horizontal="center" vertical="center"/>
    </xf>
    <xf numFmtId="0" fontId="0" fillId="26" borderId="47" xfId="0" applyFill="1" applyBorder="1" applyAlignment="1">
      <alignment horizontal="center" vertical="center"/>
    </xf>
    <xf numFmtId="0" fontId="0" fillId="26" borderId="29" xfId="0" applyFill="1" applyBorder="1" applyAlignment="1">
      <alignment horizontal="center" vertical="center"/>
    </xf>
    <xf numFmtId="0" fontId="0" fillId="26" borderId="30" xfId="0" applyFill="1" applyBorder="1" applyAlignment="1">
      <alignment horizontal="center" vertical="center"/>
    </xf>
    <xf numFmtId="0" fontId="0" fillId="26" borderId="48" xfId="0" applyFill="1" applyBorder="1" applyAlignment="1">
      <alignment horizontal="center" vertical="center"/>
    </xf>
    <xf numFmtId="0" fontId="0" fillId="24" borderId="43" xfId="0" applyFill="1" applyBorder="1" applyAlignment="1">
      <alignment horizontal="center" vertical="center"/>
    </xf>
    <xf numFmtId="0" fontId="0" fillId="24" borderId="23" xfId="0" applyFill="1" applyBorder="1" applyAlignment="1">
      <alignment horizontal="center" vertical="center"/>
    </xf>
    <xf numFmtId="0" fontId="0" fillId="24" borderId="24" xfId="0" applyFill="1" applyBorder="1" applyAlignment="1">
      <alignment horizontal="center" vertical="center"/>
    </xf>
    <xf numFmtId="0" fontId="0" fillId="26" borderId="49" xfId="0" applyFill="1" applyBorder="1" applyAlignment="1">
      <alignment horizontal="center" vertical="center"/>
    </xf>
    <xf numFmtId="0" fontId="0" fillId="26" borderId="26" xfId="0" applyFill="1" applyBorder="1" applyAlignment="1">
      <alignment horizontal="center" vertical="center"/>
    </xf>
    <xf numFmtId="0" fontId="0" fillId="26" borderId="27" xfId="0" applyFill="1" applyBorder="1" applyAlignment="1">
      <alignment horizontal="center" vertical="center"/>
    </xf>
    <xf numFmtId="0" fontId="0" fillId="0" borderId="49" xfId="0" applyFill="1" applyBorder="1" applyAlignment="1">
      <alignment horizontal="center" vertical="center"/>
    </xf>
    <xf numFmtId="0" fontId="0" fillId="0" borderId="26" xfId="0" applyFill="1" applyBorder="1" applyAlignment="1">
      <alignment horizontal="center" vertical="center"/>
    </xf>
    <xf numFmtId="0" fontId="0" fillId="0" borderId="27" xfId="0" applyFill="1" applyBorder="1" applyAlignment="1">
      <alignment horizontal="center" vertical="center"/>
    </xf>
    <xf numFmtId="0" fontId="0" fillId="26" borderId="43" xfId="0" applyFill="1" applyBorder="1" applyAlignment="1">
      <alignment horizontal="center" vertical="center"/>
    </xf>
    <xf numFmtId="0" fontId="0" fillId="26" borderId="39" xfId="0" applyFill="1" applyBorder="1" applyAlignment="1">
      <alignment horizontal="center" vertical="center"/>
    </xf>
  </cellXfs>
  <cellStyles count="46">
    <cellStyle name="20% - 輔色1" xfId="1" builtinId="30" customBuiltin="1"/>
    <cellStyle name="20% - 輔色2" xfId="2" builtinId="34" customBuiltin="1"/>
    <cellStyle name="20% - 輔色3" xfId="3" builtinId="38" customBuiltin="1"/>
    <cellStyle name="20% - 輔色4" xfId="4" builtinId="42" customBuiltin="1"/>
    <cellStyle name="20% - 輔色5" xfId="5" builtinId="46" customBuiltin="1"/>
    <cellStyle name="20% - 輔色6" xfId="6" builtinId="50" customBuiltin="1"/>
    <cellStyle name="40% - 輔色1" xfId="7" builtinId="31" customBuiltin="1"/>
    <cellStyle name="40% - 輔色2" xfId="8" builtinId="35" customBuiltin="1"/>
    <cellStyle name="40% - 輔色3" xfId="9" builtinId="39" customBuiltin="1"/>
    <cellStyle name="40% - 輔色4" xfId="10" builtinId="43" customBuiltin="1"/>
    <cellStyle name="40% - 輔色5" xfId="11" builtinId="47" customBuiltin="1"/>
    <cellStyle name="40% - 輔色6" xfId="12" builtinId="51" customBuiltin="1"/>
    <cellStyle name="60% - 輔色1" xfId="13" builtinId="32" customBuiltin="1"/>
    <cellStyle name="60% - 輔色2" xfId="14" builtinId="36" customBuiltin="1"/>
    <cellStyle name="60% - 輔色3" xfId="15" builtinId="40" customBuiltin="1"/>
    <cellStyle name="60% - 輔色4" xfId="16" builtinId="44" customBuiltin="1"/>
    <cellStyle name="60% - 輔色5" xfId="17" builtinId="48" customBuiltin="1"/>
    <cellStyle name="60% - 輔色6" xfId="18" builtinId="52" customBuiltin="1"/>
    <cellStyle name="一般" xfId="0" builtinId="0"/>
    <cellStyle name="一般 2" xfId="19"/>
    <cellStyle name="一般_個人股票倉儲區1.2" xfId="20"/>
    <cellStyle name="中等" xfId="21" builtinId="28" customBuiltin="1"/>
    <cellStyle name="合計" xfId="22" builtinId="25" customBuiltin="1"/>
    <cellStyle name="好" xfId="23" builtinId="26" customBuiltin="1"/>
    <cellStyle name="百分比" xfId="24" builtinId="5"/>
    <cellStyle name="計算方式" xfId="25" builtinId="22" customBuiltin="1"/>
    <cellStyle name="連結的儲存格" xfId="26" builtinId="24" customBuiltin="1"/>
    <cellStyle name="備註" xfId="27" builtinId="10" customBuiltin="1"/>
    <cellStyle name="超連結" xfId="28" builtinId="8"/>
    <cellStyle name="說明文字" xfId="29" builtinId="53" customBuiltin="1"/>
    <cellStyle name="輔色1" xfId="30" builtinId="29" customBuiltin="1"/>
    <cellStyle name="輔色2" xfId="31" builtinId="33" customBuiltin="1"/>
    <cellStyle name="輔色3" xfId="32" builtinId="37" customBuiltin="1"/>
    <cellStyle name="輔色4" xfId="33" builtinId="41" customBuiltin="1"/>
    <cellStyle name="輔色5" xfId="34" builtinId="45" customBuiltin="1"/>
    <cellStyle name="輔色6" xfId="35" builtinId="49" customBuiltin="1"/>
    <cellStyle name="標題" xfId="36" builtinId="15" customBuiltin="1"/>
    <cellStyle name="標題 1" xfId="37" builtinId="16" customBuiltin="1"/>
    <cellStyle name="標題 2" xfId="38" builtinId="17" customBuiltin="1"/>
    <cellStyle name="標題 3" xfId="39" builtinId="18" customBuiltin="1"/>
    <cellStyle name="標題 4" xfId="40" builtinId="19" customBuiltin="1"/>
    <cellStyle name="輸入" xfId="41" builtinId="20" customBuiltin="1"/>
    <cellStyle name="輸出" xfId="42" builtinId="21" customBuiltin="1"/>
    <cellStyle name="檢查儲存格" xfId="43" builtinId="23" customBuiltin="1"/>
    <cellStyle name="壞" xfId="44" builtinId="27" customBuiltin="1"/>
    <cellStyle name="警告文字" xfId="45" builtinId="11" customBuiltin="1"/>
  </cellStyles>
  <dxfs count="49">
    <dxf>
      <font>
        <condense val="0"/>
        <extend val="0"/>
        <color indexed="10"/>
      </font>
    </dxf>
    <dxf>
      <font>
        <condense val="0"/>
        <extend val="0"/>
        <color indexed="12"/>
      </font>
    </dxf>
    <dxf>
      <font>
        <condense val="0"/>
        <extend val="0"/>
        <color auto="1"/>
      </font>
    </dxf>
    <dxf>
      <font>
        <condense val="0"/>
        <extend val="0"/>
        <color indexed="10"/>
      </font>
    </dxf>
    <dxf>
      <font>
        <condense val="0"/>
        <extend val="0"/>
        <color indexed="57"/>
      </font>
    </dxf>
    <dxf>
      <font>
        <condense val="0"/>
        <extend val="0"/>
        <color indexed="21"/>
      </font>
    </dxf>
    <dxf>
      <font>
        <condense val="0"/>
        <extend val="0"/>
        <color indexed="12"/>
      </font>
    </dxf>
    <dxf>
      <font>
        <condense val="0"/>
        <extend val="0"/>
        <color indexed="57"/>
      </font>
    </dxf>
    <dxf>
      <font>
        <condense val="0"/>
        <extend val="0"/>
        <color indexed="10"/>
      </font>
    </dxf>
    <dxf>
      <font>
        <condense val="0"/>
        <extend val="0"/>
        <color indexed="10"/>
      </font>
    </dxf>
    <dxf>
      <font>
        <condense val="0"/>
        <extend val="0"/>
        <color indexed="12"/>
      </font>
    </dxf>
    <dxf>
      <font>
        <condense val="0"/>
        <extend val="0"/>
        <color indexed="10"/>
      </font>
    </dxf>
    <dxf>
      <font>
        <condense val="0"/>
        <extend val="0"/>
        <color indexed="12"/>
      </font>
    </dxf>
    <dxf>
      <font>
        <condense val="0"/>
        <extend val="0"/>
        <color indexed="10"/>
      </font>
    </dxf>
    <dxf>
      <font>
        <condense val="0"/>
        <extend val="0"/>
        <color indexed="12"/>
      </font>
    </dxf>
    <dxf>
      <font>
        <condense val="0"/>
        <extend val="0"/>
        <color indexed="10"/>
      </font>
    </dxf>
    <dxf>
      <font>
        <condense val="0"/>
        <extend val="0"/>
        <color indexed="12"/>
      </font>
    </dxf>
    <dxf>
      <font>
        <condense val="0"/>
        <extend val="0"/>
        <color indexed="10"/>
      </font>
    </dxf>
    <dxf>
      <font>
        <condense val="0"/>
        <extend val="0"/>
        <color indexed="12"/>
      </font>
    </dxf>
    <dxf>
      <font>
        <condense val="0"/>
        <extend val="0"/>
        <color indexed="10"/>
      </font>
    </dxf>
    <dxf>
      <font>
        <condense val="0"/>
        <extend val="0"/>
        <color indexed="12"/>
      </font>
    </dxf>
    <dxf>
      <font>
        <condense val="0"/>
        <extend val="0"/>
        <color indexed="12"/>
      </font>
    </dxf>
    <dxf>
      <font>
        <condense val="0"/>
        <extend val="0"/>
        <color indexed="10"/>
      </font>
    </dxf>
    <dxf>
      <font>
        <condense val="0"/>
        <extend val="0"/>
        <color indexed="10"/>
      </font>
    </dxf>
    <dxf>
      <font>
        <condense val="0"/>
        <extend val="0"/>
        <color indexed="12"/>
      </font>
    </dxf>
    <dxf>
      <font>
        <condense val="0"/>
        <extend val="0"/>
        <color indexed="10"/>
      </font>
    </dxf>
    <dxf>
      <font>
        <condense val="0"/>
        <extend val="0"/>
        <color indexed="12"/>
      </font>
    </dxf>
    <dxf>
      <font>
        <condense val="0"/>
        <extend val="0"/>
        <color indexed="12"/>
      </font>
    </dxf>
    <dxf>
      <font>
        <condense val="0"/>
        <extend val="0"/>
        <color indexed="10"/>
      </font>
    </dxf>
    <dxf>
      <font>
        <condense val="0"/>
        <extend val="0"/>
        <color indexed="10"/>
      </font>
    </dxf>
    <dxf>
      <font>
        <condense val="0"/>
        <extend val="0"/>
        <color indexed="12"/>
      </font>
    </dxf>
    <dxf>
      <font>
        <condense val="0"/>
        <extend val="0"/>
        <color indexed="12"/>
      </font>
    </dxf>
    <dxf>
      <font>
        <condense val="0"/>
        <extend val="0"/>
        <color indexed="10"/>
      </font>
    </dxf>
    <dxf>
      <font>
        <condense val="0"/>
        <extend val="0"/>
        <color indexed="12"/>
      </font>
    </dxf>
    <dxf>
      <font>
        <condense val="0"/>
        <extend val="0"/>
        <color indexed="10"/>
      </font>
    </dxf>
    <dxf>
      <font>
        <condense val="0"/>
        <extend val="0"/>
        <color indexed="10"/>
      </font>
    </dxf>
    <dxf>
      <font>
        <condense val="0"/>
        <extend val="0"/>
        <color indexed="12"/>
      </font>
    </dxf>
    <dxf>
      <font>
        <condense val="0"/>
        <extend val="0"/>
        <color indexed="10"/>
      </font>
    </dxf>
    <dxf>
      <font>
        <condense val="0"/>
        <extend val="0"/>
        <color indexed="12"/>
      </font>
    </dxf>
    <dxf>
      <font>
        <condense val="0"/>
        <extend val="0"/>
        <color indexed="10"/>
      </font>
    </dxf>
    <dxf>
      <font>
        <condense val="0"/>
        <extend val="0"/>
        <color indexed="12"/>
      </font>
    </dxf>
    <dxf>
      <font>
        <condense val="0"/>
        <extend val="0"/>
        <color indexed="10"/>
      </font>
    </dxf>
    <dxf>
      <font>
        <condense val="0"/>
        <extend val="0"/>
        <color indexed="12"/>
      </font>
    </dxf>
    <dxf>
      <font>
        <condense val="0"/>
        <extend val="0"/>
        <color indexed="10"/>
      </font>
    </dxf>
    <dxf>
      <font>
        <condense val="0"/>
        <extend val="0"/>
        <color indexed="57"/>
      </font>
    </dxf>
    <dxf>
      <font>
        <condense val="0"/>
        <extend val="0"/>
        <color indexed="12"/>
      </font>
    </dxf>
    <dxf>
      <font>
        <condense val="0"/>
        <extend val="0"/>
        <color indexed="10"/>
      </font>
    </dxf>
    <dxf>
      <font>
        <condense val="0"/>
        <extend val="0"/>
        <color indexed="57"/>
      </font>
    </dxf>
    <dxf>
      <font>
        <condense val="0"/>
        <extend val="0"/>
        <color indexed="12"/>
      </font>
    </dxf>
  </dxfs>
  <tableStyles count="0" defaultTableStyle="TableStyleMedium9" defaultPivotStyle="PivotStyleLight16"/>
</styleSheet>
</file>

<file path=xl/_rels/workbook.xml.rels><?xml version="1.0" encoding="UTF-8" standalone="yes"?>
<Relationships xmlns="http://schemas.openxmlformats.org/package/2006/relationships"><Relationship Id="rId8" Type="http://schemas.openxmlformats.org/officeDocument/2006/relationships/calcChain" Target="calcChain.xml"/><Relationship Id="rId3" Type="http://schemas.openxmlformats.org/officeDocument/2006/relationships/worksheet" Target="worksheets/sheet3.xml"/><Relationship Id="rId7" Type="http://schemas.openxmlformats.org/officeDocument/2006/relationships/sharedStrings" Target="sharedStrings.xml"/><Relationship Id="rId2" Type="http://schemas.openxmlformats.org/officeDocument/2006/relationships/worksheet" Target="worksheets/sheet2.xml"/><Relationship Id="rId1" Type="http://schemas.openxmlformats.org/officeDocument/2006/relationships/worksheet" Target="worksheets/sheet1.xml"/><Relationship Id="rId6" Type="http://schemas.openxmlformats.org/officeDocument/2006/relationships/styles" Target="styles.xml"/><Relationship Id="rId5" Type="http://schemas.openxmlformats.org/officeDocument/2006/relationships/connections" Target="connections.xml"/><Relationship Id="rId4" Type="http://schemas.openxmlformats.org/officeDocument/2006/relationships/theme" Target="theme/theme1.xml"/><Relationship Id="rId9" Type="http://schemas.microsoft.com/office/2006/relationships/vbaProject" Target="vbaProject.bin"/></Relationships>
</file>

<file path=xl/charts/chart1.xml><?xml version="1.0" encoding="utf-8"?>
<c:chartSpace xmlns:c="http://schemas.openxmlformats.org/drawingml/2006/chart" xmlns:a="http://schemas.openxmlformats.org/drawingml/2006/main" xmlns:r="http://schemas.openxmlformats.org/officeDocument/2006/relationships">
  <c:lang val="zh-TW"/>
  <c:chart>
    <c:plotArea>
      <c:layout>
        <c:manualLayout>
          <c:layoutTarget val="inner"/>
          <c:xMode val="edge"/>
          <c:yMode val="edge"/>
          <c:x val="7.570213211833289E-2"/>
          <c:y val="8.5821403698479126E-2"/>
          <c:w val="0.91086758968187631"/>
          <c:h val="0.73507897950436429"/>
        </c:manualLayout>
      </c:layout>
      <c:lineChart>
        <c:grouping val="standard"/>
        <c:ser>
          <c:idx val="0"/>
          <c:order val="0"/>
          <c:tx>
            <c:v>現金股利</c:v>
          </c:tx>
          <c:spPr>
            <a:ln w="38100">
              <a:solidFill>
                <a:srgbClr val="000080"/>
              </a:solidFill>
              <a:prstDash val="solid"/>
            </a:ln>
          </c:spPr>
          <c:marker>
            <c:symbol val="diamond"/>
            <c:size val="9"/>
            <c:spPr>
              <a:solidFill>
                <a:srgbClr val="000080"/>
              </a:solidFill>
              <a:ln>
                <a:solidFill>
                  <a:srgbClr val="000080"/>
                </a:solidFill>
                <a:prstDash val="solid"/>
              </a:ln>
            </c:spPr>
          </c:marker>
          <c:cat>
            <c:strRef>
              <c:f>台積電!$B$9:$E$9</c:f>
              <c:strCache>
                <c:ptCount val="4"/>
                <c:pt idx="0">
                  <c:v>今年</c:v>
                </c:pt>
                <c:pt idx="1">
                  <c:v>3年平均</c:v>
                </c:pt>
                <c:pt idx="2">
                  <c:v>5年平均</c:v>
                </c:pt>
                <c:pt idx="3">
                  <c:v>10年平均</c:v>
                </c:pt>
              </c:strCache>
            </c:strRef>
          </c:cat>
          <c:val>
            <c:numRef>
              <c:f>台積電!$B$10:$E$10</c:f>
              <c:numCache>
                <c:formatCode>0.00%</c:formatCode>
                <c:ptCount val="4"/>
                <c:pt idx="0">
                  <c:v>3.7831021437578813E-2</c:v>
                </c:pt>
                <c:pt idx="1">
                  <c:v>3.7831021437578813E-2</c:v>
                </c:pt>
                <c:pt idx="2">
                  <c:v>3.7906683480453972E-2</c:v>
                </c:pt>
                <c:pt idx="3">
                  <c:v>2.9167717528373268E-2</c:v>
                </c:pt>
              </c:numCache>
            </c:numRef>
          </c:val>
        </c:ser>
        <c:ser>
          <c:idx val="1"/>
          <c:order val="1"/>
          <c:tx>
            <c:v>股票股利</c:v>
          </c:tx>
          <c:spPr>
            <a:ln w="38100">
              <a:solidFill>
                <a:srgbClr val="FF00FF"/>
              </a:solidFill>
              <a:prstDash val="solid"/>
            </a:ln>
          </c:spPr>
          <c:marker>
            <c:symbol val="square"/>
            <c:size val="9"/>
            <c:spPr>
              <a:solidFill>
                <a:srgbClr val="FF00FF"/>
              </a:solidFill>
              <a:ln>
                <a:solidFill>
                  <a:srgbClr val="FF00FF"/>
                </a:solidFill>
                <a:prstDash val="solid"/>
              </a:ln>
            </c:spPr>
          </c:marker>
          <c:cat>
            <c:strRef>
              <c:f>台積電!$B$9:$E$9</c:f>
              <c:strCache>
                <c:ptCount val="4"/>
                <c:pt idx="0">
                  <c:v>今年</c:v>
                </c:pt>
                <c:pt idx="1">
                  <c:v>3年平均</c:v>
                </c:pt>
                <c:pt idx="2">
                  <c:v>5年平均</c:v>
                </c:pt>
                <c:pt idx="3">
                  <c:v>10年平均</c:v>
                </c:pt>
              </c:strCache>
            </c:strRef>
          </c:cat>
          <c:val>
            <c:numRef>
              <c:f>台積電!$B$11:$E$11</c:f>
              <c:numCache>
                <c:formatCode>0.00%</c:formatCode>
                <c:ptCount val="4"/>
                <c:pt idx="0">
                  <c:v>0</c:v>
                </c:pt>
                <c:pt idx="1">
                  <c:v>0</c:v>
                </c:pt>
                <c:pt idx="2">
                  <c:v>2.5220680958385876E-4</c:v>
                </c:pt>
                <c:pt idx="3">
                  <c:v>3.9848675914249685E-3</c:v>
                </c:pt>
              </c:numCache>
            </c:numRef>
          </c:val>
        </c:ser>
        <c:ser>
          <c:idx val="2"/>
          <c:order val="2"/>
          <c:tx>
            <c:v>合計股利</c:v>
          </c:tx>
          <c:spPr>
            <a:ln w="38100">
              <a:solidFill>
                <a:srgbClr val="800080"/>
              </a:solidFill>
              <a:prstDash val="solid"/>
            </a:ln>
          </c:spPr>
          <c:marker>
            <c:symbol val="triangle"/>
            <c:size val="9"/>
            <c:spPr>
              <a:solidFill>
                <a:srgbClr val="800080"/>
              </a:solidFill>
              <a:ln>
                <a:solidFill>
                  <a:srgbClr val="800080"/>
                </a:solidFill>
                <a:prstDash val="solid"/>
              </a:ln>
            </c:spPr>
          </c:marker>
          <c:cat>
            <c:strRef>
              <c:f>台積電!$B$9:$E$9</c:f>
              <c:strCache>
                <c:ptCount val="4"/>
                <c:pt idx="0">
                  <c:v>今年</c:v>
                </c:pt>
                <c:pt idx="1">
                  <c:v>3年平均</c:v>
                </c:pt>
                <c:pt idx="2">
                  <c:v>5年平均</c:v>
                </c:pt>
                <c:pt idx="3">
                  <c:v>10年平均</c:v>
                </c:pt>
              </c:strCache>
            </c:strRef>
          </c:cat>
          <c:val>
            <c:numRef>
              <c:f>台積電!$B$12:$E$12</c:f>
              <c:numCache>
                <c:formatCode>0.00%</c:formatCode>
                <c:ptCount val="4"/>
                <c:pt idx="0">
                  <c:v>3.7831021437578813E-2</c:v>
                </c:pt>
                <c:pt idx="1">
                  <c:v>3.7831021437578813E-2</c:v>
                </c:pt>
                <c:pt idx="2">
                  <c:v>3.8158890290037835E-2</c:v>
                </c:pt>
                <c:pt idx="3">
                  <c:v>3.3152585119798239E-2</c:v>
                </c:pt>
              </c:numCache>
            </c:numRef>
          </c:val>
        </c:ser>
        <c:marker val="1"/>
        <c:axId val="89928832"/>
        <c:axId val="89930752"/>
      </c:lineChart>
      <c:catAx>
        <c:axId val="89928832"/>
        <c:scaling>
          <c:orientation val="minMax"/>
        </c:scaling>
        <c:axPos val="b"/>
        <c:numFmt formatCode="General" sourceLinked="1"/>
        <c:majorTickMark val="in"/>
        <c:tickLblPos val="nextTo"/>
        <c:spPr>
          <a:ln w="3175">
            <a:solidFill>
              <a:srgbClr val="000000"/>
            </a:solidFill>
            <a:prstDash val="solid"/>
          </a:ln>
        </c:spPr>
        <c:txPr>
          <a:bodyPr rot="0" vert="horz"/>
          <a:lstStyle/>
          <a:p>
            <a:pPr>
              <a:defRPr sz="950" b="0" i="0" u="none" strike="noStrike" baseline="0">
                <a:solidFill>
                  <a:srgbClr val="000000"/>
                </a:solidFill>
                <a:latin typeface="新細明體"/>
                <a:ea typeface="新細明體"/>
                <a:cs typeface="新細明體"/>
              </a:defRPr>
            </a:pPr>
            <a:endParaRPr lang="zh-TW"/>
          </a:p>
        </c:txPr>
        <c:crossAx val="89930752"/>
        <c:crosses val="autoZero"/>
        <c:auto val="1"/>
        <c:lblAlgn val="ctr"/>
        <c:lblOffset val="100"/>
        <c:tickLblSkip val="1"/>
        <c:tickMarkSkip val="1"/>
      </c:catAx>
      <c:valAx>
        <c:axId val="89930752"/>
        <c:scaling>
          <c:orientation val="minMax"/>
        </c:scaling>
        <c:axPos val="l"/>
        <c:majorGridlines>
          <c:spPr>
            <a:ln w="3175">
              <a:solidFill>
                <a:srgbClr val="000000"/>
              </a:solidFill>
              <a:prstDash val="sysDash"/>
            </a:ln>
          </c:spPr>
        </c:majorGridlines>
        <c:numFmt formatCode="0.00%" sourceLinked="1"/>
        <c:majorTickMark val="in"/>
        <c:tickLblPos val="nextTo"/>
        <c:spPr>
          <a:ln w="3175">
            <a:solidFill>
              <a:srgbClr val="000000"/>
            </a:solidFill>
            <a:prstDash val="solid"/>
          </a:ln>
        </c:spPr>
        <c:txPr>
          <a:bodyPr rot="0" vert="horz"/>
          <a:lstStyle/>
          <a:p>
            <a:pPr>
              <a:defRPr sz="950" b="0" i="0" u="none" strike="noStrike" baseline="0">
                <a:solidFill>
                  <a:srgbClr val="000000"/>
                </a:solidFill>
                <a:latin typeface="新細明體"/>
                <a:ea typeface="新細明體"/>
                <a:cs typeface="新細明體"/>
              </a:defRPr>
            </a:pPr>
            <a:endParaRPr lang="zh-TW"/>
          </a:p>
        </c:txPr>
        <c:crossAx val="89928832"/>
        <c:crosses val="autoZero"/>
        <c:crossBetween val="between"/>
      </c:valAx>
      <c:spPr>
        <a:gradFill rotWithShape="0">
          <a:gsLst>
            <a:gs pos="0">
              <a:srgbClr val="CCFFCC"/>
            </a:gs>
            <a:gs pos="50000">
              <a:srgbClr val="FFFFFF"/>
            </a:gs>
            <a:gs pos="100000">
              <a:srgbClr val="CCFFCC"/>
            </a:gs>
          </a:gsLst>
          <a:lin ang="2700000" scaled="1"/>
        </a:gradFill>
        <a:ln w="12700">
          <a:solidFill>
            <a:srgbClr val="808080"/>
          </a:solidFill>
          <a:prstDash val="solid"/>
        </a:ln>
      </c:spPr>
    </c:plotArea>
    <c:legend>
      <c:legendPos val="r"/>
      <c:layout>
        <c:manualLayout>
          <c:xMode val="edge"/>
          <c:yMode val="edge"/>
          <c:x val="0.10315533980582525"/>
          <c:y val="0.43071377659557442"/>
          <c:w val="0.1759708737864078"/>
          <c:h val="0.25468292876955712"/>
        </c:manualLayout>
      </c:layout>
      <c:spPr>
        <a:solidFill>
          <a:srgbClr val="FFFFFF"/>
        </a:solidFill>
        <a:ln w="3175">
          <a:solidFill>
            <a:srgbClr val="000000"/>
          </a:solidFill>
          <a:prstDash val="solid"/>
        </a:ln>
      </c:spPr>
      <c:txPr>
        <a:bodyPr/>
        <a:lstStyle/>
        <a:p>
          <a:pPr>
            <a:defRPr sz="735" b="0" i="0" u="none" strike="noStrike" baseline="0">
              <a:solidFill>
                <a:srgbClr val="000000"/>
              </a:solidFill>
              <a:latin typeface="新細明體"/>
              <a:ea typeface="新細明體"/>
              <a:cs typeface="新細明體"/>
            </a:defRPr>
          </a:pPr>
          <a:endParaRPr lang="zh-TW"/>
        </a:p>
      </c:txPr>
    </c:legend>
    <c:plotVisOnly val="1"/>
    <c:dispBlanksAs val="gap"/>
  </c:chart>
  <c:spPr>
    <a:solidFill>
      <a:srgbClr val="FFFFFF"/>
    </a:solidFill>
    <a:ln w="3175">
      <a:solidFill>
        <a:srgbClr val="000000"/>
      </a:solidFill>
      <a:prstDash val="solid"/>
    </a:ln>
  </c:spPr>
  <c:txPr>
    <a:bodyPr/>
    <a:lstStyle/>
    <a:p>
      <a:pPr>
        <a:defRPr sz="800" b="0" i="0" u="none" strike="noStrike" baseline="0">
          <a:solidFill>
            <a:srgbClr val="000000"/>
          </a:solidFill>
          <a:latin typeface="新細明體"/>
          <a:ea typeface="新細明體"/>
          <a:cs typeface="新細明體"/>
        </a:defRPr>
      </a:pPr>
      <a:endParaRPr lang="zh-TW"/>
    </a:p>
  </c:txPr>
  <c:printSettings>
    <c:headerFooter alignWithMargins="0"/>
    <c:pageMargins b="1" l="0.75000000000000011" r="0.75000000000000011" t="1" header="0.5" footer="0.5"/>
    <c:pageSetup/>
  </c:printSettings>
</c:chartSpace>
</file>

<file path=xl/charts/chart2.xml><?xml version="1.0" encoding="utf-8"?>
<c:chartSpace xmlns:c="http://schemas.openxmlformats.org/drawingml/2006/chart" xmlns:a="http://schemas.openxmlformats.org/drawingml/2006/main" xmlns:r="http://schemas.openxmlformats.org/officeDocument/2006/relationships">
  <c:lang val="zh-TW"/>
  <c:chart>
    <c:plotArea>
      <c:layout>
        <c:manualLayout>
          <c:layoutTarget val="inner"/>
          <c:xMode val="edge"/>
          <c:yMode val="edge"/>
          <c:x val="0.10554123703039013"/>
          <c:y val="0.11282065407233333"/>
          <c:w val="0.87335373642647851"/>
          <c:h val="0.67692392443400018"/>
        </c:manualLayout>
      </c:layout>
      <c:lineChart>
        <c:grouping val="standard"/>
        <c:ser>
          <c:idx val="1"/>
          <c:order val="0"/>
          <c:tx>
            <c:strRef>
              <c:f>台積電!$H$5</c:f>
              <c:strCache>
                <c:ptCount val="1"/>
                <c:pt idx="0">
                  <c:v>今年</c:v>
                </c:pt>
              </c:strCache>
            </c:strRef>
          </c:tx>
          <c:spPr>
            <a:ln w="38100">
              <a:solidFill>
                <a:srgbClr val="FF00FF"/>
              </a:solidFill>
              <a:prstDash val="solid"/>
            </a:ln>
          </c:spPr>
          <c:marker>
            <c:symbol val="square"/>
            <c:size val="9"/>
            <c:spPr>
              <a:solidFill>
                <a:srgbClr val="FF00FF"/>
              </a:solidFill>
              <a:ln>
                <a:solidFill>
                  <a:srgbClr val="FF00FF"/>
                </a:solidFill>
                <a:prstDash val="solid"/>
              </a:ln>
            </c:spPr>
          </c:marker>
          <c:cat>
            <c:strRef>
              <c:f>台積電!$I$3:$K$3</c:f>
              <c:strCache>
                <c:ptCount val="3"/>
                <c:pt idx="0">
                  <c:v>便宜價</c:v>
                </c:pt>
                <c:pt idx="1">
                  <c:v>合理價</c:v>
                </c:pt>
                <c:pt idx="2">
                  <c:v>昂貴價</c:v>
                </c:pt>
              </c:strCache>
            </c:strRef>
          </c:cat>
          <c:val>
            <c:numRef>
              <c:f>台積電!$I$5:$K$5</c:f>
              <c:numCache>
                <c:formatCode>0.0_ </c:formatCode>
                <c:ptCount val="3"/>
                <c:pt idx="0">
                  <c:v>48</c:v>
                </c:pt>
                <c:pt idx="1">
                  <c:v>60</c:v>
                </c:pt>
                <c:pt idx="2">
                  <c:v>96</c:v>
                </c:pt>
              </c:numCache>
            </c:numRef>
          </c:val>
        </c:ser>
        <c:ser>
          <c:idx val="2"/>
          <c:order val="1"/>
          <c:tx>
            <c:strRef>
              <c:f>台積電!$H$6</c:f>
              <c:strCache>
                <c:ptCount val="1"/>
                <c:pt idx="0">
                  <c:v>3年平均</c:v>
                </c:pt>
              </c:strCache>
            </c:strRef>
          </c:tx>
          <c:spPr>
            <a:ln w="38100">
              <a:solidFill>
                <a:srgbClr val="FF0000"/>
              </a:solidFill>
              <a:prstDash val="solid"/>
            </a:ln>
          </c:spPr>
          <c:marker>
            <c:symbol val="triangle"/>
            <c:size val="9"/>
            <c:spPr>
              <a:solidFill>
                <a:srgbClr val="FF0000"/>
              </a:solidFill>
              <a:ln>
                <a:solidFill>
                  <a:srgbClr val="FF0000"/>
                </a:solidFill>
                <a:prstDash val="solid"/>
              </a:ln>
            </c:spPr>
          </c:marker>
          <c:cat>
            <c:strRef>
              <c:f>台積電!$I$3:$K$3</c:f>
              <c:strCache>
                <c:ptCount val="3"/>
                <c:pt idx="0">
                  <c:v>便宜價</c:v>
                </c:pt>
                <c:pt idx="1">
                  <c:v>合理價</c:v>
                </c:pt>
                <c:pt idx="2">
                  <c:v>昂貴價</c:v>
                </c:pt>
              </c:strCache>
            </c:strRef>
          </c:cat>
          <c:val>
            <c:numRef>
              <c:f>台積電!$I$6:$K$6</c:f>
              <c:numCache>
                <c:formatCode>0.0_ </c:formatCode>
                <c:ptCount val="3"/>
                <c:pt idx="0">
                  <c:v>48</c:v>
                </c:pt>
                <c:pt idx="1">
                  <c:v>60</c:v>
                </c:pt>
                <c:pt idx="2">
                  <c:v>96</c:v>
                </c:pt>
              </c:numCache>
            </c:numRef>
          </c:val>
        </c:ser>
        <c:ser>
          <c:idx val="3"/>
          <c:order val="2"/>
          <c:tx>
            <c:strRef>
              <c:f>台積電!$H$7</c:f>
              <c:strCache>
                <c:ptCount val="1"/>
                <c:pt idx="0">
                  <c:v>5年平均</c:v>
                </c:pt>
              </c:strCache>
            </c:strRef>
          </c:tx>
          <c:spPr>
            <a:ln w="38100">
              <a:solidFill>
                <a:srgbClr val="339966"/>
              </a:solidFill>
              <a:prstDash val="solid"/>
            </a:ln>
          </c:spPr>
          <c:marker>
            <c:symbol val="x"/>
            <c:size val="9"/>
            <c:spPr>
              <a:noFill/>
              <a:ln>
                <a:solidFill>
                  <a:srgbClr val="339966"/>
                </a:solidFill>
                <a:prstDash val="solid"/>
              </a:ln>
            </c:spPr>
          </c:marker>
          <c:cat>
            <c:strRef>
              <c:f>台積電!$I$3:$K$3</c:f>
              <c:strCache>
                <c:ptCount val="3"/>
                <c:pt idx="0">
                  <c:v>便宜價</c:v>
                </c:pt>
                <c:pt idx="1">
                  <c:v>合理價</c:v>
                </c:pt>
                <c:pt idx="2">
                  <c:v>昂貴價</c:v>
                </c:pt>
              </c:strCache>
            </c:strRef>
          </c:cat>
          <c:val>
            <c:numRef>
              <c:f>台積電!$I$7:$K$7</c:f>
              <c:numCache>
                <c:formatCode>0.0_ </c:formatCode>
                <c:ptCount val="3"/>
                <c:pt idx="0">
                  <c:v>48.095999999999997</c:v>
                </c:pt>
                <c:pt idx="1">
                  <c:v>60.12</c:v>
                </c:pt>
                <c:pt idx="2">
                  <c:v>96.191999999999993</c:v>
                </c:pt>
              </c:numCache>
            </c:numRef>
          </c:val>
        </c:ser>
        <c:ser>
          <c:idx val="4"/>
          <c:order val="3"/>
          <c:tx>
            <c:strRef>
              <c:f>台積電!$H$8</c:f>
              <c:strCache>
                <c:ptCount val="1"/>
                <c:pt idx="0">
                  <c:v>10年平均</c:v>
                </c:pt>
              </c:strCache>
            </c:strRef>
          </c:tx>
          <c:spPr>
            <a:ln w="38100">
              <a:solidFill>
                <a:srgbClr val="800080"/>
              </a:solidFill>
              <a:prstDash val="solid"/>
            </a:ln>
          </c:spPr>
          <c:marker>
            <c:symbol val="star"/>
            <c:size val="9"/>
            <c:spPr>
              <a:noFill/>
              <a:ln>
                <a:solidFill>
                  <a:srgbClr val="800080"/>
                </a:solidFill>
                <a:prstDash val="solid"/>
              </a:ln>
            </c:spPr>
          </c:marker>
          <c:cat>
            <c:strRef>
              <c:f>台積電!$I$3:$K$3</c:f>
              <c:strCache>
                <c:ptCount val="3"/>
                <c:pt idx="0">
                  <c:v>便宜價</c:v>
                </c:pt>
                <c:pt idx="1">
                  <c:v>合理價</c:v>
                </c:pt>
                <c:pt idx="2">
                  <c:v>昂貴價</c:v>
                </c:pt>
              </c:strCache>
            </c:strRef>
          </c:cat>
          <c:val>
            <c:numRef>
              <c:f>台積電!$I$8:$K$8</c:f>
              <c:numCache>
                <c:formatCode>0.0_ </c:formatCode>
                <c:ptCount val="3"/>
                <c:pt idx="0">
                  <c:v>37.008000000000003</c:v>
                </c:pt>
                <c:pt idx="1">
                  <c:v>46.260000000000005</c:v>
                </c:pt>
                <c:pt idx="2">
                  <c:v>74.016000000000005</c:v>
                </c:pt>
              </c:numCache>
            </c:numRef>
          </c:val>
        </c:ser>
        <c:marker val="1"/>
        <c:axId val="90124672"/>
        <c:axId val="90126592"/>
      </c:lineChart>
      <c:catAx>
        <c:axId val="90124672"/>
        <c:scaling>
          <c:orientation val="minMax"/>
        </c:scaling>
        <c:axPos val="b"/>
        <c:numFmt formatCode="General" sourceLinked="1"/>
        <c:majorTickMark val="in"/>
        <c:tickLblPos val="nextTo"/>
        <c:spPr>
          <a:ln w="3175">
            <a:solidFill>
              <a:srgbClr val="000000"/>
            </a:solidFill>
            <a:prstDash val="solid"/>
          </a:ln>
        </c:spPr>
        <c:txPr>
          <a:bodyPr rot="0" vert="horz"/>
          <a:lstStyle/>
          <a:p>
            <a:pPr>
              <a:defRPr sz="800" b="0" i="0" u="none" strike="noStrike" baseline="0">
                <a:solidFill>
                  <a:srgbClr val="000000"/>
                </a:solidFill>
                <a:latin typeface="新細明體"/>
                <a:ea typeface="新細明體"/>
                <a:cs typeface="新細明體"/>
              </a:defRPr>
            </a:pPr>
            <a:endParaRPr lang="zh-TW"/>
          </a:p>
        </c:txPr>
        <c:crossAx val="90126592"/>
        <c:crosses val="autoZero"/>
        <c:auto val="1"/>
        <c:lblAlgn val="ctr"/>
        <c:lblOffset val="100"/>
        <c:tickLblSkip val="1"/>
        <c:tickMarkSkip val="1"/>
      </c:catAx>
      <c:valAx>
        <c:axId val="90126592"/>
        <c:scaling>
          <c:orientation val="minMax"/>
        </c:scaling>
        <c:axPos val="l"/>
        <c:majorGridlines>
          <c:spPr>
            <a:ln w="3175">
              <a:solidFill>
                <a:srgbClr val="000000"/>
              </a:solidFill>
              <a:prstDash val="sysDash"/>
            </a:ln>
          </c:spPr>
        </c:majorGridlines>
        <c:numFmt formatCode="0_ " sourceLinked="0"/>
        <c:majorTickMark val="in"/>
        <c:tickLblPos val="nextTo"/>
        <c:spPr>
          <a:ln w="3175">
            <a:solidFill>
              <a:srgbClr val="000000"/>
            </a:solidFill>
            <a:prstDash val="solid"/>
          </a:ln>
        </c:spPr>
        <c:txPr>
          <a:bodyPr rot="0" vert="horz"/>
          <a:lstStyle/>
          <a:p>
            <a:pPr>
              <a:defRPr sz="800" b="0" i="0" u="none" strike="noStrike" baseline="0">
                <a:solidFill>
                  <a:srgbClr val="000000"/>
                </a:solidFill>
                <a:latin typeface="新細明體"/>
                <a:ea typeface="新細明體"/>
                <a:cs typeface="新細明體"/>
              </a:defRPr>
            </a:pPr>
            <a:endParaRPr lang="zh-TW"/>
          </a:p>
        </c:txPr>
        <c:crossAx val="90124672"/>
        <c:crosses val="autoZero"/>
        <c:crossBetween val="between"/>
      </c:valAx>
      <c:spPr>
        <a:gradFill rotWithShape="0">
          <a:gsLst>
            <a:gs pos="0">
              <a:srgbClr val="FFFF99"/>
            </a:gs>
            <a:gs pos="50000">
              <a:srgbClr val="FFFFFF"/>
            </a:gs>
            <a:gs pos="100000">
              <a:srgbClr val="FFFF99"/>
            </a:gs>
          </a:gsLst>
          <a:lin ang="2700000" scaled="1"/>
        </a:gradFill>
        <a:ln w="12700">
          <a:solidFill>
            <a:srgbClr val="808080"/>
          </a:solidFill>
          <a:prstDash val="solid"/>
        </a:ln>
      </c:spPr>
    </c:plotArea>
    <c:legend>
      <c:legendPos val="r"/>
      <c:layout>
        <c:manualLayout>
          <c:xMode val="edge"/>
          <c:yMode val="edge"/>
          <c:x val="0.2025052192066806"/>
          <c:y val="0.13846171181604544"/>
          <c:w val="0.4008350730688936"/>
          <c:h val="0.29743626982706067"/>
        </c:manualLayout>
      </c:layout>
      <c:spPr>
        <a:solidFill>
          <a:srgbClr val="FFFFFF"/>
        </a:solidFill>
        <a:ln w="3175">
          <a:solidFill>
            <a:srgbClr val="000000"/>
          </a:solidFill>
          <a:prstDash val="solid"/>
        </a:ln>
      </c:spPr>
      <c:txPr>
        <a:bodyPr/>
        <a:lstStyle/>
        <a:p>
          <a:pPr>
            <a:defRPr sz="735" b="0" i="0" u="none" strike="noStrike" baseline="0">
              <a:solidFill>
                <a:srgbClr val="000000"/>
              </a:solidFill>
              <a:latin typeface="新細明體"/>
              <a:ea typeface="新細明體"/>
              <a:cs typeface="新細明體"/>
            </a:defRPr>
          </a:pPr>
          <a:endParaRPr lang="zh-TW"/>
        </a:p>
      </c:txPr>
    </c:legend>
    <c:plotVisOnly val="1"/>
    <c:dispBlanksAs val="gap"/>
  </c:chart>
  <c:spPr>
    <a:solidFill>
      <a:srgbClr val="FFFFFF"/>
    </a:solidFill>
    <a:ln w="3175">
      <a:solidFill>
        <a:srgbClr val="000000"/>
      </a:solidFill>
      <a:prstDash val="solid"/>
    </a:ln>
  </c:spPr>
  <c:txPr>
    <a:bodyPr/>
    <a:lstStyle/>
    <a:p>
      <a:pPr>
        <a:defRPr sz="475" b="0" i="0" u="none" strike="noStrike" baseline="0">
          <a:solidFill>
            <a:srgbClr val="000000"/>
          </a:solidFill>
          <a:latin typeface="新細明體"/>
          <a:ea typeface="新細明體"/>
          <a:cs typeface="新細明體"/>
        </a:defRPr>
      </a:pPr>
      <a:endParaRPr lang="zh-TW"/>
    </a:p>
  </c:txPr>
  <c:printSettings>
    <c:headerFooter alignWithMargins="0"/>
    <c:pageMargins b="1" l="0.75000000000000011" r="0.75000000000000011" t="1" header="0.5" footer="0.5"/>
    <c:pageSetup/>
  </c:printSettings>
</c:chartSpace>
</file>

<file path=xl/charts/chart3.xml><?xml version="1.0" encoding="utf-8"?>
<c:chartSpace xmlns:c="http://schemas.openxmlformats.org/drawingml/2006/chart" xmlns:a="http://schemas.openxmlformats.org/drawingml/2006/main" xmlns:r="http://schemas.openxmlformats.org/officeDocument/2006/relationships">
  <c:lang val="zh-TW"/>
  <c:chart>
    <c:plotArea>
      <c:layout>
        <c:manualLayout>
          <c:layoutTarget val="inner"/>
          <c:xMode val="edge"/>
          <c:yMode val="edge"/>
          <c:x val="0.10554123703039013"/>
          <c:y val="0.11399057457640305"/>
          <c:w val="0.87335373642647851"/>
          <c:h val="0.67358066795147264"/>
        </c:manualLayout>
      </c:layout>
      <c:lineChart>
        <c:grouping val="standard"/>
        <c:ser>
          <c:idx val="1"/>
          <c:order val="0"/>
          <c:tx>
            <c:strRef>
              <c:f>台積電!$H$13</c:f>
              <c:strCache>
                <c:ptCount val="1"/>
                <c:pt idx="0">
                  <c:v>今年</c:v>
                </c:pt>
              </c:strCache>
            </c:strRef>
          </c:tx>
          <c:spPr>
            <a:ln w="38100">
              <a:solidFill>
                <a:srgbClr val="FF00FF"/>
              </a:solidFill>
              <a:prstDash val="solid"/>
            </a:ln>
          </c:spPr>
          <c:marker>
            <c:symbol val="square"/>
            <c:size val="9"/>
            <c:spPr>
              <a:solidFill>
                <a:srgbClr val="FF00FF"/>
              </a:solidFill>
              <a:ln>
                <a:solidFill>
                  <a:srgbClr val="FF00FF"/>
                </a:solidFill>
                <a:prstDash val="solid"/>
              </a:ln>
            </c:spPr>
          </c:marker>
          <c:cat>
            <c:strRef>
              <c:f>台積電!$I$11:$K$11</c:f>
              <c:strCache>
                <c:ptCount val="3"/>
                <c:pt idx="0">
                  <c:v>便宜價</c:v>
                </c:pt>
                <c:pt idx="1">
                  <c:v>合理價</c:v>
                </c:pt>
                <c:pt idx="2">
                  <c:v>昂貴價</c:v>
                </c:pt>
              </c:strCache>
            </c:strRef>
          </c:cat>
          <c:val>
            <c:numRef>
              <c:f>台積電!$I$13:$K$13</c:f>
              <c:numCache>
                <c:formatCode>0.0_ </c:formatCode>
                <c:ptCount val="3"/>
                <c:pt idx="0">
                  <c:v>48</c:v>
                </c:pt>
                <c:pt idx="1">
                  <c:v>60</c:v>
                </c:pt>
                <c:pt idx="2">
                  <c:v>96</c:v>
                </c:pt>
              </c:numCache>
            </c:numRef>
          </c:val>
        </c:ser>
        <c:ser>
          <c:idx val="2"/>
          <c:order val="1"/>
          <c:tx>
            <c:strRef>
              <c:f>台積電!$H$14</c:f>
              <c:strCache>
                <c:ptCount val="1"/>
                <c:pt idx="0">
                  <c:v>3年平均</c:v>
                </c:pt>
              </c:strCache>
            </c:strRef>
          </c:tx>
          <c:spPr>
            <a:ln w="38100">
              <a:solidFill>
                <a:srgbClr val="FF0000"/>
              </a:solidFill>
              <a:prstDash val="solid"/>
            </a:ln>
          </c:spPr>
          <c:marker>
            <c:symbol val="triangle"/>
            <c:size val="9"/>
            <c:spPr>
              <a:solidFill>
                <a:srgbClr val="FF0000"/>
              </a:solidFill>
              <a:ln>
                <a:solidFill>
                  <a:srgbClr val="FF0000"/>
                </a:solidFill>
                <a:prstDash val="solid"/>
              </a:ln>
            </c:spPr>
          </c:marker>
          <c:cat>
            <c:strRef>
              <c:f>台積電!$I$11:$K$11</c:f>
              <c:strCache>
                <c:ptCount val="3"/>
                <c:pt idx="0">
                  <c:v>便宜價</c:v>
                </c:pt>
                <c:pt idx="1">
                  <c:v>合理價</c:v>
                </c:pt>
                <c:pt idx="2">
                  <c:v>昂貴價</c:v>
                </c:pt>
              </c:strCache>
            </c:strRef>
          </c:cat>
          <c:val>
            <c:numRef>
              <c:f>台積電!$I$14:$K$14</c:f>
              <c:numCache>
                <c:formatCode>0.0_ </c:formatCode>
                <c:ptCount val="3"/>
                <c:pt idx="0">
                  <c:v>48</c:v>
                </c:pt>
                <c:pt idx="1">
                  <c:v>60</c:v>
                </c:pt>
                <c:pt idx="2">
                  <c:v>96</c:v>
                </c:pt>
              </c:numCache>
            </c:numRef>
          </c:val>
        </c:ser>
        <c:ser>
          <c:idx val="3"/>
          <c:order val="2"/>
          <c:tx>
            <c:strRef>
              <c:f>台積電!$H$15</c:f>
              <c:strCache>
                <c:ptCount val="1"/>
                <c:pt idx="0">
                  <c:v>5年平均</c:v>
                </c:pt>
              </c:strCache>
            </c:strRef>
          </c:tx>
          <c:spPr>
            <a:ln w="38100">
              <a:solidFill>
                <a:srgbClr val="339966"/>
              </a:solidFill>
              <a:prstDash val="solid"/>
            </a:ln>
          </c:spPr>
          <c:marker>
            <c:symbol val="x"/>
            <c:size val="9"/>
            <c:spPr>
              <a:noFill/>
              <a:ln>
                <a:solidFill>
                  <a:srgbClr val="339966"/>
                </a:solidFill>
                <a:prstDash val="solid"/>
              </a:ln>
            </c:spPr>
          </c:marker>
          <c:cat>
            <c:strRef>
              <c:f>台積電!$I$11:$K$11</c:f>
              <c:strCache>
                <c:ptCount val="3"/>
                <c:pt idx="0">
                  <c:v>便宜價</c:v>
                </c:pt>
                <c:pt idx="1">
                  <c:v>合理價</c:v>
                </c:pt>
                <c:pt idx="2">
                  <c:v>昂貴價</c:v>
                </c:pt>
              </c:strCache>
            </c:strRef>
          </c:cat>
          <c:val>
            <c:numRef>
              <c:f>台積電!$I$15:$K$15</c:f>
              <c:numCache>
                <c:formatCode>0.0_ </c:formatCode>
                <c:ptCount val="3"/>
                <c:pt idx="0">
                  <c:v>48.416000000000004</c:v>
                </c:pt>
                <c:pt idx="1">
                  <c:v>60.52</c:v>
                </c:pt>
                <c:pt idx="2">
                  <c:v>96.832000000000008</c:v>
                </c:pt>
              </c:numCache>
            </c:numRef>
          </c:val>
        </c:ser>
        <c:ser>
          <c:idx val="4"/>
          <c:order val="3"/>
          <c:tx>
            <c:strRef>
              <c:f>台積電!$H$16</c:f>
              <c:strCache>
                <c:ptCount val="1"/>
                <c:pt idx="0">
                  <c:v>10年平均</c:v>
                </c:pt>
              </c:strCache>
            </c:strRef>
          </c:tx>
          <c:spPr>
            <a:ln w="38100">
              <a:solidFill>
                <a:srgbClr val="800080"/>
              </a:solidFill>
              <a:prstDash val="solid"/>
            </a:ln>
          </c:spPr>
          <c:marker>
            <c:symbol val="star"/>
            <c:size val="9"/>
            <c:spPr>
              <a:noFill/>
              <a:ln>
                <a:solidFill>
                  <a:srgbClr val="800080"/>
                </a:solidFill>
                <a:prstDash val="solid"/>
              </a:ln>
            </c:spPr>
          </c:marker>
          <c:cat>
            <c:strRef>
              <c:f>台積電!$I$11:$K$11</c:f>
              <c:strCache>
                <c:ptCount val="3"/>
                <c:pt idx="0">
                  <c:v>便宜價</c:v>
                </c:pt>
                <c:pt idx="1">
                  <c:v>合理價</c:v>
                </c:pt>
                <c:pt idx="2">
                  <c:v>昂貴價</c:v>
                </c:pt>
              </c:strCache>
            </c:strRef>
          </c:cat>
          <c:val>
            <c:numRef>
              <c:f>台積電!$I$16:$K$16</c:f>
              <c:numCache>
                <c:formatCode>0.0_ </c:formatCode>
                <c:ptCount val="3"/>
                <c:pt idx="0">
                  <c:v>42.064000000000007</c:v>
                </c:pt>
                <c:pt idx="1">
                  <c:v>52.580000000000013</c:v>
                </c:pt>
                <c:pt idx="2">
                  <c:v>84.128000000000014</c:v>
                </c:pt>
              </c:numCache>
            </c:numRef>
          </c:val>
        </c:ser>
        <c:marker val="1"/>
        <c:axId val="90156416"/>
        <c:axId val="90158592"/>
      </c:lineChart>
      <c:catAx>
        <c:axId val="90156416"/>
        <c:scaling>
          <c:orientation val="minMax"/>
        </c:scaling>
        <c:axPos val="b"/>
        <c:numFmt formatCode="General" sourceLinked="1"/>
        <c:majorTickMark val="in"/>
        <c:tickLblPos val="nextTo"/>
        <c:spPr>
          <a:ln w="3175">
            <a:solidFill>
              <a:srgbClr val="000000"/>
            </a:solidFill>
            <a:prstDash val="solid"/>
          </a:ln>
        </c:spPr>
        <c:txPr>
          <a:bodyPr rot="0" vert="horz"/>
          <a:lstStyle/>
          <a:p>
            <a:pPr>
              <a:defRPr sz="800" b="0" i="0" u="none" strike="noStrike" baseline="0">
                <a:solidFill>
                  <a:srgbClr val="000000"/>
                </a:solidFill>
                <a:latin typeface="新細明體"/>
                <a:ea typeface="新細明體"/>
                <a:cs typeface="新細明體"/>
              </a:defRPr>
            </a:pPr>
            <a:endParaRPr lang="zh-TW"/>
          </a:p>
        </c:txPr>
        <c:crossAx val="90158592"/>
        <c:crosses val="autoZero"/>
        <c:auto val="1"/>
        <c:lblAlgn val="ctr"/>
        <c:lblOffset val="100"/>
        <c:tickLblSkip val="1"/>
        <c:tickMarkSkip val="1"/>
      </c:catAx>
      <c:valAx>
        <c:axId val="90158592"/>
        <c:scaling>
          <c:orientation val="minMax"/>
        </c:scaling>
        <c:axPos val="l"/>
        <c:majorGridlines>
          <c:spPr>
            <a:ln w="3175">
              <a:solidFill>
                <a:srgbClr val="000000"/>
              </a:solidFill>
              <a:prstDash val="sysDash"/>
            </a:ln>
          </c:spPr>
        </c:majorGridlines>
        <c:numFmt formatCode="0_ " sourceLinked="0"/>
        <c:majorTickMark val="in"/>
        <c:tickLblPos val="nextTo"/>
        <c:spPr>
          <a:ln w="3175">
            <a:solidFill>
              <a:srgbClr val="000000"/>
            </a:solidFill>
            <a:prstDash val="solid"/>
          </a:ln>
        </c:spPr>
        <c:txPr>
          <a:bodyPr rot="0" vert="horz"/>
          <a:lstStyle/>
          <a:p>
            <a:pPr>
              <a:defRPr sz="800" b="0" i="0" u="none" strike="noStrike" baseline="0">
                <a:solidFill>
                  <a:srgbClr val="000000"/>
                </a:solidFill>
                <a:latin typeface="新細明體"/>
                <a:ea typeface="新細明體"/>
                <a:cs typeface="新細明體"/>
              </a:defRPr>
            </a:pPr>
            <a:endParaRPr lang="zh-TW"/>
          </a:p>
        </c:txPr>
        <c:crossAx val="90156416"/>
        <c:crosses val="autoZero"/>
        <c:crossBetween val="between"/>
      </c:valAx>
      <c:spPr>
        <a:gradFill rotWithShape="0">
          <a:gsLst>
            <a:gs pos="0">
              <a:srgbClr val="FFFF99"/>
            </a:gs>
            <a:gs pos="50000">
              <a:srgbClr val="FFFFFF"/>
            </a:gs>
            <a:gs pos="100000">
              <a:srgbClr val="FFFF99"/>
            </a:gs>
          </a:gsLst>
          <a:lin ang="2700000" scaled="1"/>
        </a:gradFill>
        <a:ln w="12700">
          <a:solidFill>
            <a:srgbClr val="808080"/>
          </a:solidFill>
          <a:prstDash val="solid"/>
        </a:ln>
      </c:spPr>
    </c:plotArea>
    <c:legend>
      <c:legendPos val="r"/>
      <c:layout>
        <c:manualLayout>
          <c:xMode val="edge"/>
          <c:yMode val="edge"/>
          <c:x val="0.20876826722338213"/>
          <c:y val="0.17010309278350516"/>
          <c:w val="0.4008350730688936"/>
          <c:h val="0.2989690721649485"/>
        </c:manualLayout>
      </c:layout>
      <c:spPr>
        <a:solidFill>
          <a:srgbClr val="FFFFFF"/>
        </a:solidFill>
        <a:ln w="3175">
          <a:solidFill>
            <a:srgbClr val="000000"/>
          </a:solidFill>
          <a:prstDash val="solid"/>
        </a:ln>
      </c:spPr>
      <c:txPr>
        <a:bodyPr/>
        <a:lstStyle/>
        <a:p>
          <a:pPr>
            <a:defRPr sz="735" b="0" i="0" u="none" strike="noStrike" baseline="0">
              <a:solidFill>
                <a:srgbClr val="000000"/>
              </a:solidFill>
              <a:latin typeface="新細明體"/>
              <a:ea typeface="新細明體"/>
              <a:cs typeface="新細明體"/>
            </a:defRPr>
          </a:pPr>
          <a:endParaRPr lang="zh-TW"/>
        </a:p>
      </c:txPr>
    </c:legend>
    <c:plotVisOnly val="1"/>
    <c:dispBlanksAs val="gap"/>
  </c:chart>
  <c:spPr>
    <a:solidFill>
      <a:srgbClr val="FFFFFF"/>
    </a:solidFill>
    <a:ln w="3175">
      <a:solidFill>
        <a:srgbClr val="000000"/>
      </a:solidFill>
      <a:prstDash val="solid"/>
    </a:ln>
  </c:spPr>
  <c:txPr>
    <a:bodyPr/>
    <a:lstStyle/>
    <a:p>
      <a:pPr>
        <a:defRPr sz="400" b="0" i="0" u="none" strike="noStrike" baseline="0">
          <a:solidFill>
            <a:srgbClr val="000000"/>
          </a:solidFill>
          <a:latin typeface="新細明體"/>
          <a:ea typeface="新細明體"/>
          <a:cs typeface="新細明體"/>
        </a:defRPr>
      </a:pPr>
      <a:endParaRPr lang="zh-TW"/>
    </a:p>
  </c:txPr>
  <c:printSettings>
    <c:headerFooter alignWithMargins="0"/>
    <c:pageMargins b="1" l="0.75000000000000011" r="0.75000000000000011" t="1" header="0.5" footer="0.5"/>
    <c:pageSetup/>
  </c:printSettings>
</c:chartSpace>
</file>

<file path=xl/charts/chart4.xml><?xml version="1.0" encoding="utf-8"?>
<c:chartSpace xmlns:c="http://schemas.openxmlformats.org/drawingml/2006/chart" xmlns:a="http://schemas.openxmlformats.org/drawingml/2006/main" xmlns:r="http://schemas.openxmlformats.org/officeDocument/2006/relationships">
  <c:lang val="zh-TW"/>
  <c:chart>
    <c:plotArea>
      <c:layout>
        <c:manualLayout>
          <c:layoutTarget val="inner"/>
          <c:xMode val="edge"/>
          <c:yMode val="edge"/>
          <c:x val="9.2105284291956455E-2"/>
          <c:y val="0.1304356726764592"/>
          <c:w val="0.89661674708700467"/>
          <c:h val="0.59627736080667026"/>
        </c:manualLayout>
      </c:layout>
      <c:lineChart>
        <c:grouping val="standard"/>
        <c:ser>
          <c:idx val="0"/>
          <c:order val="0"/>
          <c:spPr>
            <a:ln w="38100">
              <a:solidFill>
                <a:srgbClr val="000080"/>
              </a:solidFill>
              <a:prstDash val="solid"/>
            </a:ln>
          </c:spPr>
          <c:marker>
            <c:symbol val="diamond"/>
            <c:size val="9"/>
            <c:spPr>
              <a:solidFill>
                <a:srgbClr val="000080"/>
              </a:solidFill>
              <a:ln>
                <a:solidFill>
                  <a:srgbClr val="000080"/>
                </a:solidFill>
                <a:prstDash val="solid"/>
              </a:ln>
            </c:spPr>
          </c:marker>
          <c:cat>
            <c:strRef>
              <c:f>台積電!$H$21:$H$24</c:f>
              <c:strCache>
                <c:ptCount val="4"/>
                <c:pt idx="0">
                  <c:v>100第1季</c:v>
                </c:pt>
                <c:pt idx="1">
                  <c:v>100第2季</c:v>
                </c:pt>
                <c:pt idx="2">
                  <c:v>100第3季</c:v>
                </c:pt>
                <c:pt idx="3">
                  <c:v>100第4季</c:v>
                </c:pt>
              </c:strCache>
            </c:strRef>
          </c:cat>
          <c:val>
            <c:numRef>
              <c:f>台積電!$I$21:$I$24</c:f>
              <c:numCache>
                <c:formatCode>0.00_ </c:formatCode>
                <c:ptCount val="4"/>
                <c:pt idx="0">
                  <c:v>1.4</c:v>
                </c:pt>
                <c:pt idx="1">
                  <c:v>1.39</c:v>
                </c:pt>
                <c:pt idx="2">
                  <c:v>1.17</c:v>
                </c:pt>
                <c:pt idx="3">
                  <c:v>1.22</c:v>
                </c:pt>
              </c:numCache>
            </c:numRef>
          </c:val>
        </c:ser>
        <c:marker val="1"/>
        <c:axId val="90210688"/>
        <c:axId val="90212608"/>
      </c:lineChart>
      <c:catAx>
        <c:axId val="90210688"/>
        <c:scaling>
          <c:orientation val="minMax"/>
        </c:scaling>
        <c:axPos val="b"/>
        <c:numFmt formatCode="General" sourceLinked="1"/>
        <c:majorTickMark val="in"/>
        <c:tickLblPos val="nextTo"/>
        <c:spPr>
          <a:ln w="3175">
            <a:solidFill>
              <a:srgbClr val="000000"/>
            </a:solidFill>
            <a:prstDash val="solid"/>
          </a:ln>
        </c:spPr>
        <c:txPr>
          <a:bodyPr rot="0" vert="horz"/>
          <a:lstStyle/>
          <a:p>
            <a:pPr>
              <a:defRPr sz="850" b="0" i="0" u="none" strike="noStrike" baseline="0">
                <a:solidFill>
                  <a:srgbClr val="000000"/>
                </a:solidFill>
                <a:latin typeface="新細明體"/>
                <a:ea typeface="新細明體"/>
                <a:cs typeface="新細明體"/>
              </a:defRPr>
            </a:pPr>
            <a:endParaRPr lang="zh-TW"/>
          </a:p>
        </c:txPr>
        <c:crossAx val="90212608"/>
        <c:crosses val="autoZero"/>
        <c:auto val="1"/>
        <c:lblAlgn val="ctr"/>
        <c:lblOffset val="100"/>
        <c:tickLblSkip val="1"/>
        <c:tickMarkSkip val="1"/>
      </c:catAx>
      <c:valAx>
        <c:axId val="90212608"/>
        <c:scaling>
          <c:orientation val="minMax"/>
        </c:scaling>
        <c:axPos val="l"/>
        <c:majorGridlines>
          <c:spPr>
            <a:ln w="3175">
              <a:solidFill>
                <a:srgbClr val="000000"/>
              </a:solidFill>
              <a:prstDash val="sysDash"/>
            </a:ln>
          </c:spPr>
        </c:majorGridlines>
        <c:numFmt formatCode="0.00_ " sourceLinked="1"/>
        <c:majorTickMark val="in"/>
        <c:tickLblPos val="nextTo"/>
        <c:spPr>
          <a:ln w="3175">
            <a:solidFill>
              <a:srgbClr val="000000"/>
            </a:solidFill>
            <a:prstDash val="solid"/>
          </a:ln>
        </c:spPr>
        <c:txPr>
          <a:bodyPr rot="0" vert="horz"/>
          <a:lstStyle/>
          <a:p>
            <a:pPr>
              <a:defRPr sz="850" b="0" i="0" u="none" strike="noStrike" baseline="0">
                <a:solidFill>
                  <a:srgbClr val="000000"/>
                </a:solidFill>
                <a:latin typeface="新細明體"/>
                <a:ea typeface="新細明體"/>
                <a:cs typeface="新細明體"/>
              </a:defRPr>
            </a:pPr>
            <a:endParaRPr lang="zh-TW"/>
          </a:p>
        </c:txPr>
        <c:crossAx val="90210688"/>
        <c:crosses val="autoZero"/>
        <c:crossBetween val="between"/>
      </c:valAx>
      <c:spPr>
        <a:gradFill rotWithShape="0">
          <a:gsLst>
            <a:gs pos="0">
              <a:srgbClr val="FFFF99"/>
            </a:gs>
            <a:gs pos="50000">
              <a:srgbClr val="FFFFFF"/>
            </a:gs>
            <a:gs pos="100000">
              <a:srgbClr val="FFFF99"/>
            </a:gs>
          </a:gsLst>
          <a:lin ang="2700000" scaled="1"/>
        </a:gradFill>
        <a:ln w="12700">
          <a:solidFill>
            <a:srgbClr val="808080"/>
          </a:solidFill>
          <a:prstDash val="solid"/>
        </a:ln>
      </c:spPr>
    </c:plotArea>
    <c:plotVisOnly val="1"/>
    <c:dispBlanksAs val="gap"/>
  </c:chart>
  <c:spPr>
    <a:solidFill>
      <a:srgbClr val="FFFFFF"/>
    </a:solidFill>
    <a:ln w="3175">
      <a:solidFill>
        <a:srgbClr val="000000"/>
      </a:solidFill>
      <a:prstDash val="solid"/>
    </a:ln>
  </c:spPr>
  <c:txPr>
    <a:bodyPr/>
    <a:lstStyle/>
    <a:p>
      <a:pPr>
        <a:defRPr sz="425" b="0" i="0" u="none" strike="noStrike" baseline="0">
          <a:solidFill>
            <a:srgbClr val="000000"/>
          </a:solidFill>
          <a:latin typeface="新細明體"/>
          <a:ea typeface="新細明體"/>
          <a:cs typeface="新細明體"/>
        </a:defRPr>
      </a:pPr>
      <a:endParaRPr lang="zh-TW"/>
    </a:p>
  </c:txPr>
  <c:printSettings>
    <c:headerFooter alignWithMargins="0"/>
    <c:pageMargins b="1" l="0.75000000000000011" r="0.75000000000000011" t="1" header="0.5" footer="0.5"/>
    <c:pageSetup/>
  </c:printSettings>
</c:chartSpace>
</file>

<file path=xl/charts/chart5.xml><?xml version="1.0" encoding="utf-8"?>
<c:chartSpace xmlns:c="http://schemas.openxmlformats.org/drawingml/2006/chart" xmlns:a="http://schemas.openxmlformats.org/drawingml/2006/main" xmlns:r="http://schemas.openxmlformats.org/officeDocument/2006/relationships">
  <c:lang val="zh-TW"/>
  <c:chart>
    <c:plotArea>
      <c:layout>
        <c:manualLayout>
          <c:layoutTarget val="inner"/>
          <c:xMode val="edge"/>
          <c:yMode val="edge"/>
          <c:x val="5.2631591023975133E-2"/>
          <c:y val="0.13207597869672935"/>
          <c:w val="0.93609044035498623"/>
          <c:h val="0.59119723797583612"/>
        </c:manualLayout>
      </c:layout>
      <c:lineChart>
        <c:grouping val="standard"/>
        <c:ser>
          <c:idx val="0"/>
          <c:order val="0"/>
          <c:spPr>
            <a:ln w="38100">
              <a:solidFill>
                <a:srgbClr val="000080"/>
              </a:solidFill>
              <a:prstDash val="solid"/>
            </a:ln>
          </c:spPr>
          <c:marker>
            <c:symbol val="diamond"/>
            <c:size val="9"/>
            <c:spPr>
              <a:solidFill>
                <a:srgbClr val="000080"/>
              </a:solidFill>
              <a:ln>
                <a:solidFill>
                  <a:srgbClr val="000080"/>
                </a:solidFill>
                <a:prstDash val="solid"/>
              </a:ln>
            </c:spPr>
          </c:marker>
          <c:cat>
            <c:strRef>
              <c:f>台積電!$H$27:$H$30</c:f>
              <c:strCache>
                <c:ptCount val="4"/>
                <c:pt idx="0">
                  <c:v>96年</c:v>
                </c:pt>
                <c:pt idx="1">
                  <c:v>97年</c:v>
                </c:pt>
                <c:pt idx="2">
                  <c:v>98年</c:v>
                </c:pt>
                <c:pt idx="3">
                  <c:v>99年</c:v>
                </c:pt>
              </c:strCache>
            </c:strRef>
          </c:cat>
          <c:val>
            <c:numRef>
              <c:f>台積電!$I$27:$I$30</c:f>
              <c:numCache>
                <c:formatCode>0.00_ </c:formatCode>
                <c:ptCount val="4"/>
                <c:pt idx="0" formatCode="General">
                  <c:v>4.1399999999999997</c:v>
                </c:pt>
                <c:pt idx="1">
                  <c:v>3.86</c:v>
                </c:pt>
                <c:pt idx="2">
                  <c:v>3.45</c:v>
                </c:pt>
                <c:pt idx="3">
                  <c:v>6.24</c:v>
                </c:pt>
              </c:numCache>
            </c:numRef>
          </c:val>
        </c:ser>
        <c:marker val="1"/>
        <c:axId val="90383104"/>
        <c:axId val="90385024"/>
      </c:lineChart>
      <c:catAx>
        <c:axId val="90383104"/>
        <c:scaling>
          <c:orientation val="minMax"/>
        </c:scaling>
        <c:axPos val="b"/>
        <c:numFmt formatCode="General" sourceLinked="1"/>
        <c:majorTickMark val="in"/>
        <c:tickLblPos val="nextTo"/>
        <c:spPr>
          <a:ln w="3175">
            <a:solidFill>
              <a:srgbClr val="000000"/>
            </a:solidFill>
            <a:prstDash val="solid"/>
          </a:ln>
        </c:spPr>
        <c:txPr>
          <a:bodyPr rot="0" vert="horz"/>
          <a:lstStyle/>
          <a:p>
            <a:pPr>
              <a:defRPr sz="850" b="0" i="0" u="none" strike="noStrike" baseline="0">
                <a:solidFill>
                  <a:srgbClr val="000000"/>
                </a:solidFill>
                <a:latin typeface="新細明體"/>
                <a:ea typeface="新細明體"/>
                <a:cs typeface="新細明體"/>
              </a:defRPr>
            </a:pPr>
            <a:endParaRPr lang="zh-TW"/>
          </a:p>
        </c:txPr>
        <c:crossAx val="90385024"/>
        <c:crosses val="autoZero"/>
        <c:auto val="1"/>
        <c:lblAlgn val="ctr"/>
        <c:lblOffset val="100"/>
        <c:tickLblSkip val="1"/>
        <c:tickMarkSkip val="1"/>
      </c:catAx>
      <c:valAx>
        <c:axId val="90385024"/>
        <c:scaling>
          <c:orientation val="minMax"/>
        </c:scaling>
        <c:axPos val="l"/>
        <c:majorGridlines>
          <c:spPr>
            <a:ln w="3175">
              <a:solidFill>
                <a:srgbClr val="000000"/>
              </a:solidFill>
              <a:prstDash val="sysDash"/>
            </a:ln>
          </c:spPr>
        </c:majorGridlines>
        <c:numFmt formatCode="General" sourceLinked="1"/>
        <c:majorTickMark val="in"/>
        <c:tickLblPos val="nextTo"/>
        <c:spPr>
          <a:ln w="3175">
            <a:solidFill>
              <a:srgbClr val="000000"/>
            </a:solidFill>
            <a:prstDash val="solid"/>
          </a:ln>
        </c:spPr>
        <c:txPr>
          <a:bodyPr rot="0" vert="horz"/>
          <a:lstStyle/>
          <a:p>
            <a:pPr>
              <a:defRPr sz="850" b="0" i="0" u="none" strike="noStrike" baseline="0">
                <a:solidFill>
                  <a:srgbClr val="000000"/>
                </a:solidFill>
                <a:latin typeface="新細明體"/>
                <a:ea typeface="新細明體"/>
                <a:cs typeface="新細明體"/>
              </a:defRPr>
            </a:pPr>
            <a:endParaRPr lang="zh-TW"/>
          </a:p>
        </c:txPr>
        <c:crossAx val="90383104"/>
        <c:crosses val="autoZero"/>
        <c:crossBetween val="between"/>
      </c:valAx>
      <c:spPr>
        <a:gradFill rotWithShape="0">
          <a:gsLst>
            <a:gs pos="0">
              <a:srgbClr val="FFFF99"/>
            </a:gs>
            <a:gs pos="50000">
              <a:srgbClr val="FFFFFF"/>
            </a:gs>
            <a:gs pos="100000">
              <a:srgbClr val="FFFF99"/>
            </a:gs>
          </a:gsLst>
          <a:lin ang="2700000" scaled="1"/>
        </a:gradFill>
        <a:ln w="12700">
          <a:solidFill>
            <a:srgbClr val="808080"/>
          </a:solidFill>
          <a:prstDash val="solid"/>
        </a:ln>
      </c:spPr>
    </c:plotArea>
    <c:plotVisOnly val="1"/>
    <c:dispBlanksAs val="gap"/>
  </c:chart>
  <c:spPr>
    <a:solidFill>
      <a:srgbClr val="FFFFFF"/>
    </a:solidFill>
    <a:ln w="3175">
      <a:solidFill>
        <a:srgbClr val="000000"/>
      </a:solidFill>
      <a:prstDash val="solid"/>
    </a:ln>
  </c:spPr>
  <c:txPr>
    <a:bodyPr/>
    <a:lstStyle/>
    <a:p>
      <a:pPr>
        <a:defRPr sz="375" b="0" i="0" u="none" strike="noStrike" baseline="0">
          <a:solidFill>
            <a:srgbClr val="000000"/>
          </a:solidFill>
          <a:latin typeface="新細明體"/>
          <a:ea typeface="新細明體"/>
          <a:cs typeface="新細明體"/>
        </a:defRPr>
      </a:pPr>
      <a:endParaRPr lang="zh-TW"/>
    </a:p>
  </c:txPr>
  <c:printSettings>
    <c:headerFooter alignWithMargins="0"/>
    <c:pageMargins b="1" l="0.75000000000000011" r="0.75000000000000011" t="1" header="0.5" footer="0.5"/>
    <c:pageSetup/>
  </c:printSettings>
</c:chartSpace>
</file>

<file path=xl/drawings/_rels/drawing1.xml.rels><?xml version="1.0" encoding="UTF-8" standalone="yes"?>
<Relationships xmlns="http://schemas.openxmlformats.org/package/2006/relationships"><Relationship Id="rId3" Type="http://schemas.openxmlformats.org/officeDocument/2006/relationships/chart" Target="../charts/chart3.xml"/><Relationship Id="rId2" Type="http://schemas.openxmlformats.org/officeDocument/2006/relationships/chart" Target="../charts/chart2.xml"/><Relationship Id="rId1" Type="http://schemas.openxmlformats.org/officeDocument/2006/relationships/chart" Target="../charts/chart1.xml"/><Relationship Id="rId5" Type="http://schemas.openxmlformats.org/officeDocument/2006/relationships/chart" Target="../charts/chart5.xml"/><Relationship Id="rId4" Type="http://schemas.openxmlformats.org/officeDocument/2006/relationships/chart" Target="../charts/chart4.xml"/></Relationships>
</file>

<file path=xl/drawings/drawing1.xml><?xml version="1.0" encoding="utf-8"?>
<xdr:wsDr xmlns:xdr="http://schemas.openxmlformats.org/drawingml/2006/spreadsheetDrawing" xmlns:a="http://schemas.openxmlformats.org/drawingml/2006/main">
  <xdr:twoCellAnchor>
    <xdr:from>
      <xdr:col>0</xdr:col>
      <xdr:colOff>22860</xdr:colOff>
      <xdr:row>12</xdr:row>
      <xdr:rowOff>30480</xdr:rowOff>
    </xdr:from>
    <xdr:to>
      <xdr:col>5</xdr:col>
      <xdr:colOff>1021080</xdr:colOff>
      <xdr:row>21</xdr:row>
      <xdr:rowOff>175260</xdr:rowOff>
    </xdr:to>
    <xdr:graphicFrame macro="">
      <xdr:nvGraphicFramePr>
        <xdr:cNvPr id="135210" name="Chart 3"/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1"/>
        </a:graphicData>
      </a:graphic>
    </xdr:graphicFrame>
    <xdr:clientData/>
  </xdr:twoCellAnchor>
  <xdr:twoCellAnchor>
    <xdr:from>
      <xdr:col>11</xdr:col>
      <xdr:colOff>45720</xdr:colOff>
      <xdr:row>0</xdr:row>
      <xdr:rowOff>205740</xdr:rowOff>
    </xdr:from>
    <xdr:to>
      <xdr:col>17</xdr:col>
      <xdr:colOff>38100</xdr:colOff>
      <xdr:row>8</xdr:row>
      <xdr:rowOff>0</xdr:rowOff>
    </xdr:to>
    <xdr:graphicFrame macro="">
      <xdr:nvGraphicFramePr>
        <xdr:cNvPr id="135211" name="Chart 5"/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2"/>
        </a:graphicData>
      </a:graphic>
    </xdr:graphicFrame>
    <xdr:clientData/>
  </xdr:twoCellAnchor>
  <xdr:twoCellAnchor>
    <xdr:from>
      <xdr:col>11</xdr:col>
      <xdr:colOff>60960</xdr:colOff>
      <xdr:row>9</xdr:row>
      <xdr:rowOff>7620</xdr:rowOff>
    </xdr:from>
    <xdr:to>
      <xdr:col>17</xdr:col>
      <xdr:colOff>53340</xdr:colOff>
      <xdr:row>16</xdr:row>
      <xdr:rowOff>15240</xdr:rowOff>
    </xdr:to>
    <xdr:graphicFrame macro="">
      <xdr:nvGraphicFramePr>
        <xdr:cNvPr id="135212" name="Chart 9"/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3"/>
        </a:graphicData>
      </a:graphic>
    </xdr:graphicFrame>
    <xdr:clientData/>
  </xdr:twoCellAnchor>
  <xdr:twoCellAnchor>
    <xdr:from>
      <xdr:col>9</xdr:col>
      <xdr:colOff>7620</xdr:colOff>
      <xdr:row>19</xdr:row>
      <xdr:rowOff>7620</xdr:rowOff>
    </xdr:from>
    <xdr:to>
      <xdr:col>17</xdr:col>
      <xdr:colOff>38100</xdr:colOff>
      <xdr:row>24</xdr:row>
      <xdr:rowOff>175260</xdr:rowOff>
    </xdr:to>
    <xdr:graphicFrame macro="">
      <xdr:nvGraphicFramePr>
        <xdr:cNvPr id="135213" name="Chart 11"/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4"/>
        </a:graphicData>
      </a:graphic>
    </xdr:graphicFrame>
    <xdr:clientData/>
  </xdr:twoCellAnchor>
  <xdr:twoCellAnchor>
    <xdr:from>
      <xdr:col>9</xdr:col>
      <xdr:colOff>7620</xdr:colOff>
      <xdr:row>25</xdr:row>
      <xdr:rowOff>0</xdr:rowOff>
    </xdr:from>
    <xdr:to>
      <xdr:col>17</xdr:col>
      <xdr:colOff>38100</xdr:colOff>
      <xdr:row>30</xdr:row>
      <xdr:rowOff>182880</xdr:rowOff>
    </xdr:to>
    <xdr:graphicFrame macro="">
      <xdr:nvGraphicFramePr>
        <xdr:cNvPr id="135214" name="Chart 12"/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5"/>
        </a:graphicData>
      </a:graphic>
    </xdr:graphicFrame>
    <xdr:clientData/>
  </xdr:twoCellAnchor>
</xdr:wsDr>
</file>

<file path=xl/queryTables/queryTable1.xml><?xml version="1.0" encoding="utf-8"?>
<queryTable xmlns="http://schemas.openxmlformats.org/spreadsheetml/2006/main" name="q?s=2330_1" connectionId="4" autoFormatId="16" applyNumberFormats="0" applyBorderFormats="0" applyFontFormats="1" applyPatternFormats="1" applyAlignmentFormats="0" applyWidthHeightFormats="0"/>
</file>

<file path=xl/queryTables/queryTable2.xml><?xml version="1.0" encoding="utf-8"?>
<queryTable xmlns="http://schemas.openxmlformats.org/spreadsheetml/2006/main" name="q?s=2330_2" connectionId="5" autoFormatId="16" applyNumberFormats="0" applyBorderFormats="0" applyFontFormats="1" applyPatternFormats="1" applyAlignmentFormats="0" applyWidthHeightFormats="0"/>
</file>

<file path=xl/queryTables/queryTable3.xml><?xml version="1.0" encoding="utf-8"?>
<queryTable xmlns="http://schemas.openxmlformats.org/spreadsheetml/2006/main" name="company_2330" connectionId="2" autoFormatId="16" applyNumberFormats="0" applyBorderFormats="0" applyFontFormats="1" applyPatternFormats="1" applyAlignmentFormats="0" applyWidthHeightFormats="0"/>
</file>

<file path=xl/queryTables/queryTable4.xml><?xml version="1.0" encoding="utf-8"?>
<queryTable xmlns="http://schemas.openxmlformats.org/spreadsheetml/2006/main" name="zca_2330.djhtm" connectionId="3" autoFormatId="16" applyNumberFormats="0" applyBorderFormats="0" applyFontFormats="1" applyPatternFormats="1" applyAlignmentFormats="0" applyWidthHeightFormats="0"/>
</file>

<file path=xl/queryTables/queryTable5.xml><?xml version="1.0" encoding="utf-8"?>
<queryTable xmlns="http://schemas.openxmlformats.org/spreadsheetml/2006/main" name="dividend_2330" connectionId="1" autoFormatId="16" applyNumberFormats="0" applyBorderFormats="0" applyFontFormats="1" applyPatternFormats="1" applyAlignmentFormats="0" applyWidthHeightFormats="0"/>
</file>

<file path=xl/theme/theme1.xml><?xml version="1.0" encoding="utf-8"?>
<a:theme xmlns:a="http://schemas.openxmlformats.org/drawingml/2006/main" name="Office 佈景主題">
  <a:themeElements>
    <a:clrScheme name="Office">
      <a:dk1>
        <a:sysClr val="windowText" lastClr="000000"/>
      </a:dk1>
      <a:lt1>
        <a:sysClr val="window" lastClr="FFFFFF"/>
      </a:lt1>
      <a:dk2>
        <a:srgbClr val="1F497D"/>
      </a:dk2>
      <a:lt2>
        <a:srgbClr val="EEECE1"/>
      </a:lt2>
      <a:accent1>
        <a:srgbClr val="4F81BD"/>
      </a:accent1>
      <a:accent2>
        <a:srgbClr val="C0504D"/>
      </a:accent2>
      <a:accent3>
        <a:srgbClr val="9BBB59"/>
      </a:accent3>
      <a:accent4>
        <a:srgbClr val="8064A2"/>
      </a:accent4>
      <a:accent5>
        <a:srgbClr val="4BACC6"/>
      </a:accent5>
      <a:accent6>
        <a:srgbClr val="F79646"/>
      </a:accent6>
      <a:hlink>
        <a:srgbClr val="0000FF"/>
      </a:hlink>
      <a:folHlink>
        <a:srgbClr val="800080"/>
      </a:folHlink>
    </a:clrScheme>
    <a:fontScheme name="Office">
      <a:majorFont>
        <a:latin typeface="Cambria"/>
        <a:ea typeface=""/>
        <a:cs typeface=""/>
        <a:font script="Jpan" typeface="ＭＳ Ｐゴシック"/>
        <a:font script="Hang" typeface="맑은 고딕"/>
        <a:font script="Hans" typeface="宋体"/>
        <a:font script="Hant" typeface="新細明體"/>
        <a:font script="Arab" typeface="Times New Roman"/>
        <a:font script="Hebr" typeface="Times New Roman"/>
        <a:font script="Thai" typeface="Tahoma"/>
        <a:font script="Ethi" typeface="Nyala"/>
        <a:font script="Beng" typeface="Vrinda"/>
        <a:font script="Gujr" typeface="Shruti"/>
        <a:font script="Khmr" typeface="MoolBoran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Times New Roman"/>
        <a:font script="Uigh" typeface="Microsoft Uighur"/>
      </a:majorFont>
      <a:minorFont>
        <a:latin typeface="Calibri"/>
        <a:ea typeface=""/>
        <a:cs typeface=""/>
        <a:font script="Jpan" typeface="ＭＳ Ｐゴシック"/>
        <a:font script="Hang" typeface="맑은 고딕"/>
        <a:font script="Hans" typeface="宋体"/>
        <a:font script="Hant" typeface="新細明體"/>
        <a:font script="Arab" typeface="Arial"/>
        <a:font script="Hebr" typeface="Arial"/>
        <a:font script="Thai" typeface="Tahoma"/>
        <a:font script="Ethi" typeface="Nyala"/>
        <a:font script="Beng" typeface="Vrinda"/>
        <a:font script="Gujr" typeface="Shruti"/>
        <a:font script="Khmr" typeface="DaunPenh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Arial"/>
        <a:font script="Uigh" typeface="Microsoft Uighur"/>
      </a:minorFont>
    </a:fontScheme>
    <a:fmtScheme name="Office">
      <a:fillStyleLst>
        <a:solidFill>
          <a:schemeClr val="phClr"/>
        </a:solidFill>
        <a:gradFill rotWithShape="1">
          <a:gsLst>
            <a:gs pos="0">
              <a:schemeClr val="phClr">
                <a:tint val="50000"/>
                <a:satMod val="300000"/>
              </a:schemeClr>
            </a:gs>
            <a:gs pos="35000">
              <a:schemeClr val="phClr">
                <a:tint val="37000"/>
                <a:satMod val="300000"/>
              </a:schemeClr>
            </a:gs>
            <a:gs pos="100000">
              <a:schemeClr val="phClr">
                <a:tint val="15000"/>
                <a:satMod val="350000"/>
              </a:schemeClr>
            </a:gs>
          </a:gsLst>
          <a:lin ang="16200000" scaled="1"/>
        </a:gradFill>
        <a:gradFill rotWithShape="1">
          <a:gsLst>
            <a:gs pos="0">
              <a:schemeClr val="phClr">
                <a:shade val="51000"/>
                <a:satMod val="130000"/>
              </a:schemeClr>
            </a:gs>
            <a:gs pos="80000">
              <a:schemeClr val="phClr">
                <a:shade val="93000"/>
                <a:satMod val="130000"/>
              </a:schemeClr>
            </a:gs>
            <a:gs pos="100000">
              <a:schemeClr val="phClr">
                <a:shade val="94000"/>
                <a:satMod val="135000"/>
              </a:schemeClr>
            </a:gs>
          </a:gsLst>
          <a:lin ang="16200000" scaled="0"/>
        </a:gradFill>
      </a:fillStyleLst>
      <a:lnStyleLst>
        <a:ln w="9525" cap="flat" cmpd="sng" algn="ctr">
          <a:solidFill>
            <a:schemeClr val="phClr">
              <a:shade val="95000"/>
              <a:satMod val="105000"/>
            </a:schemeClr>
          </a:solidFill>
          <a:prstDash val="solid"/>
        </a:ln>
        <a:ln w="25400" cap="flat" cmpd="sng" algn="ctr">
          <a:solidFill>
            <a:schemeClr val="phClr"/>
          </a:solidFill>
          <a:prstDash val="solid"/>
        </a:ln>
        <a:ln w="38100" cap="flat" cmpd="sng" algn="ctr">
          <a:solidFill>
            <a:schemeClr val="phClr"/>
          </a:solidFill>
          <a:prstDash val="solid"/>
        </a:ln>
      </a:lnStyleLst>
      <a:effectStyleLst>
        <a:effectStyle>
          <a:effectLst>
            <a:outerShdw blurRad="40000" dist="20000" dir="5400000" rotWithShape="0">
              <a:srgbClr val="000000">
                <a:alpha val="38000"/>
              </a:srgbClr>
            </a:outerShdw>
          </a:effectLst>
        </a:effectStyle>
        <a:effectStyle>
          <a:effectLst>
            <a:outerShdw blurRad="40000" dist="23000" dir="5400000" rotWithShape="0">
              <a:srgbClr val="000000">
                <a:alpha val="35000"/>
              </a:srgbClr>
            </a:outerShdw>
          </a:effectLst>
        </a:effectStyle>
        <a:effectStyle>
          <a:effectLst>
            <a:outerShdw blurRad="40000" dist="23000" dir="5400000" rotWithShape="0">
              <a:srgbClr val="000000">
                <a:alpha val="35000"/>
              </a:srgbClr>
            </a:outerShdw>
          </a:effectLst>
          <a:scene3d>
            <a:camera prst="orthographicFront">
              <a:rot lat="0" lon="0" rev="0"/>
            </a:camera>
            <a:lightRig rig="threePt" dir="t">
              <a:rot lat="0" lon="0" rev="1200000"/>
            </a:lightRig>
          </a:scene3d>
          <a:sp3d>
            <a:bevelT w="63500" h="25400"/>
          </a:sp3d>
        </a:effectStyle>
      </a:effectStyleLst>
      <a:bgFillStyleLst>
        <a:solidFill>
          <a:schemeClr val="phClr"/>
        </a:solidFill>
        <a:gradFill rotWithShape="1">
          <a:gsLst>
            <a:gs pos="0">
              <a:schemeClr val="phClr">
                <a:tint val="40000"/>
                <a:satMod val="350000"/>
              </a:schemeClr>
            </a:gs>
            <a:gs pos="40000">
              <a:schemeClr val="phClr">
                <a:tint val="45000"/>
                <a:shade val="99000"/>
                <a:satMod val="350000"/>
              </a:schemeClr>
            </a:gs>
            <a:gs pos="100000">
              <a:schemeClr val="phClr">
                <a:shade val="20000"/>
                <a:satMod val="255000"/>
              </a:schemeClr>
            </a:gs>
          </a:gsLst>
          <a:path path="circle">
            <a:fillToRect l="50000" t="-80000" r="50000" b="180000"/>
          </a:path>
        </a:gradFill>
        <a:gradFill rotWithShape="1">
          <a:gsLst>
            <a:gs pos="0">
              <a:schemeClr val="phClr">
                <a:tint val="80000"/>
                <a:satMod val="300000"/>
              </a:schemeClr>
            </a:gs>
            <a:gs pos="100000">
              <a:schemeClr val="phClr">
                <a:shade val="30000"/>
                <a:satMod val="200000"/>
              </a:schemeClr>
            </a:gs>
          </a:gsLst>
          <a:path path="circle">
            <a:fillToRect l="50000" t="50000" r="50000" b="50000"/>
          </a:path>
        </a:gradFill>
      </a:bgFillStyleLst>
    </a:fmtScheme>
  </a:themeElements>
  <a:objectDefaults/>
  <a:extraClrSchemeLst/>
</a:theme>
</file>

<file path=xl/worksheets/_rels/sheet2.xml.rels><?xml version="1.0" encoding="UTF-8" standalone="yes"?>
<Relationships xmlns="http://schemas.openxmlformats.org/package/2006/relationships"><Relationship Id="rId3" Type="http://schemas.openxmlformats.org/officeDocument/2006/relationships/comments" Target="../comments1.xml"/><Relationship Id="rId2" Type="http://schemas.openxmlformats.org/officeDocument/2006/relationships/vmlDrawing" Target="../drawings/vmlDrawing1.vml"/><Relationship Id="rId1" Type="http://schemas.openxmlformats.org/officeDocument/2006/relationships/printerSettings" Target="../printerSettings/printerSettings1.bin"/></Relationships>
</file>

<file path=xl/worksheets/_rels/sheet3.xml.rels><?xml version="1.0" encoding="UTF-8" standalone="yes"?>
<Relationships xmlns="http://schemas.openxmlformats.org/package/2006/relationships"><Relationship Id="rId8" Type="http://schemas.openxmlformats.org/officeDocument/2006/relationships/comments" Target="../comments2.xml"/><Relationship Id="rId3" Type="http://schemas.openxmlformats.org/officeDocument/2006/relationships/queryTable" Target="../queryTables/queryTable1.xml"/><Relationship Id="rId7" Type="http://schemas.openxmlformats.org/officeDocument/2006/relationships/queryTable" Target="../queryTables/queryTable5.xml"/><Relationship Id="rId2" Type="http://schemas.openxmlformats.org/officeDocument/2006/relationships/vmlDrawing" Target="../drawings/vmlDrawing2.vml"/><Relationship Id="rId1" Type="http://schemas.openxmlformats.org/officeDocument/2006/relationships/drawing" Target="../drawings/drawing1.xml"/><Relationship Id="rId6" Type="http://schemas.openxmlformats.org/officeDocument/2006/relationships/queryTable" Target="../queryTables/queryTable4.xml"/><Relationship Id="rId5" Type="http://schemas.openxmlformats.org/officeDocument/2006/relationships/queryTable" Target="../queryTables/queryTable3.xml"/><Relationship Id="rId4" Type="http://schemas.openxmlformats.org/officeDocument/2006/relationships/queryTable" Target="../queryTables/queryTable2.xml"/></Relationships>
</file>

<file path=xl/worksheets/sheet1.xml><?xml version="1.0" encoding="utf-8"?>
<worksheet xmlns="http://schemas.openxmlformats.org/spreadsheetml/2006/main" xmlns:r="http://schemas.openxmlformats.org/officeDocument/2006/relationships">
  <sheetPr codeName="Sheet2"/>
  <dimension ref="B1:J986"/>
  <sheetViews>
    <sheetView workbookViewId="0"/>
  </sheetViews>
  <sheetFormatPr defaultRowHeight="16.2"/>
  <cols>
    <col min="1" max="2" width="8.88671875" style="1"/>
    <col min="3" max="3" width="10.109375" style="1" customWidth="1"/>
    <col min="4" max="4" width="11.109375" style="1" customWidth="1"/>
    <col min="5" max="7" width="8.88671875" style="1"/>
    <col min="8" max="8" width="10.6640625" style="1" customWidth="1"/>
    <col min="9" max="9" width="10.77734375" style="1" customWidth="1"/>
    <col min="10" max="10" width="11.109375" style="1" customWidth="1"/>
    <col min="11" max="16384" width="8.88671875" style="1"/>
  </cols>
  <sheetData>
    <row r="1" spans="2:10">
      <c r="B1" s="1" t="s">
        <v>0</v>
      </c>
      <c r="G1" s="1" t="s">
        <v>1</v>
      </c>
    </row>
    <row r="2" spans="2:10">
      <c r="B2" s="1" t="s">
        <v>2</v>
      </c>
      <c r="C2" s="2"/>
      <c r="D2" s="2"/>
      <c r="E2" s="2"/>
      <c r="F2" s="2"/>
      <c r="G2" s="2"/>
      <c r="H2" s="2"/>
      <c r="I2" s="2"/>
      <c r="J2" s="2"/>
    </row>
    <row r="3" spans="2:10">
      <c r="B3" s="3" t="s">
        <v>993</v>
      </c>
      <c r="C3" s="4" t="s">
        <v>3</v>
      </c>
      <c r="D3" s="4" t="s">
        <v>4</v>
      </c>
      <c r="E3" s="4" t="s">
        <v>5</v>
      </c>
      <c r="F3" s="4" t="s">
        <v>6</v>
      </c>
      <c r="G3" s="4" t="s">
        <v>7</v>
      </c>
      <c r="H3" s="4" t="s">
        <v>8</v>
      </c>
      <c r="I3" s="4" t="s">
        <v>9</v>
      </c>
      <c r="J3" s="4" t="s">
        <v>10</v>
      </c>
    </row>
    <row r="4" spans="2:10">
      <c r="B4" s="4">
        <v>1101</v>
      </c>
      <c r="C4" s="4" t="s">
        <v>11</v>
      </c>
      <c r="D4" s="5">
        <v>3.7999999999999999E-2</v>
      </c>
      <c r="E4" s="4">
        <v>2</v>
      </c>
      <c r="F4" s="4">
        <v>0</v>
      </c>
      <c r="G4" s="6">
        <v>2000</v>
      </c>
      <c r="H4" s="4">
        <v>-24</v>
      </c>
      <c r="I4" s="4">
        <v>-164</v>
      </c>
      <c r="J4" s="4">
        <v>-324</v>
      </c>
    </row>
    <row r="5" spans="2:10">
      <c r="B5" s="4">
        <v>1102</v>
      </c>
      <c r="C5" s="4" t="s">
        <v>12</v>
      </c>
      <c r="D5" s="5">
        <v>9.1700000000000004E-2</v>
      </c>
      <c r="E5" s="4">
        <v>1.9</v>
      </c>
      <c r="F5" s="4">
        <v>0.2</v>
      </c>
      <c r="G5" s="6">
        <v>2100</v>
      </c>
      <c r="H5" s="4">
        <v>88</v>
      </c>
      <c r="I5" s="4">
        <v>-59</v>
      </c>
      <c r="J5" s="4">
        <v>-227</v>
      </c>
    </row>
    <row r="6" spans="2:10">
      <c r="B6" s="4">
        <v>1103</v>
      </c>
      <c r="C6" s="4" t="s">
        <v>13</v>
      </c>
      <c r="D6" s="5">
        <v>0.22189999999999999</v>
      </c>
      <c r="E6" s="4">
        <v>0.3</v>
      </c>
      <c r="F6" s="4">
        <v>0.3</v>
      </c>
      <c r="G6" s="4">
        <v>600</v>
      </c>
      <c r="H6" s="4">
        <v>103</v>
      </c>
      <c r="I6" s="4">
        <v>61</v>
      </c>
      <c r="J6" s="4">
        <v>13</v>
      </c>
    </row>
    <row r="7" spans="2:10">
      <c r="B7" s="4">
        <v>1104</v>
      </c>
      <c r="C7" s="4" t="s">
        <v>14</v>
      </c>
      <c r="D7" s="5">
        <v>5.3199999999999997E-2</v>
      </c>
      <c r="E7" s="4">
        <v>1</v>
      </c>
      <c r="F7" s="4">
        <v>0</v>
      </c>
      <c r="G7" s="6">
        <v>1000</v>
      </c>
      <c r="H7" s="4">
        <v>3</v>
      </c>
      <c r="I7" s="4">
        <v>-67</v>
      </c>
      <c r="J7" s="4">
        <v>-147</v>
      </c>
    </row>
    <row r="8" spans="2:10">
      <c r="B8" s="4">
        <v>1109</v>
      </c>
      <c r="C8" s="4" t="s">
        <v>15</v>
      </c>
      <c r="D8" s="5">
        <v>0.29799999999999999</v>
      </c>
      <c r="E8" s="4">
        <v>0.28000000000000003</v>
      </c>
      <c r="F8" s="4">
        <v>0</v>
      </c>
      <c r="G8" s="4">
        <v>280</v>
      </c>
      <c r="H8" s="4">
        <v>69</v>
      </c>
      <c r="I8" s="4">
        <v>50</v>
      </c>
      <c r="J8" s="4">
        <v>27</v>
      </c>
    </row>
    <row r="9" spans="2:10">
      <c r="B9" s="4">
        <v>1110</v>
      </c>
      <c r="C9" s="4" t="s">
        <v>16</v>
      </c>
      <c r="D9" s="5">
        <v>0.20480000000000001</v>
      </c>
      <c r="E9" s="4">
        <v>0.1</v>
      </c>
      <c r="F9" s="4">
        <v>0</v>
      </c>
      <c r="G9" s="4">
        <v>100</v>
      </c>
      <c r="H9" s="4">
        <v>15</v>
      </c>
      <c r="I9" s="4">
        <v>8</v>
      </c>
      <c r="J9" s="4">
        <v>0</v>
      </c>
    </row>
    <row r="10" spans="2:10">
      <c r="B10" s="4">
        <v>1201</v>
      </c>
      <c r="C10" s="4" t="s">
        <v>17</v>
      </c>
      <c r="D10" s="5">
        <v>6.9900000000000004E-2</v>
      </c>
      <c r="E10" s="4">
        <v>0.6</v>
      </c>
      <c r="F10" s="4">
        <v>0</v>
      </c>
      <c r="G10" s="4">
        <v>600</v>
      </c>
      <c r="H10" s="4">
        <v>12</v>
      </c>
      <c r="I10" s="4">
        <v>-30</v>
      </c>
      <c r="J10" s="4">
        <v>-78</v>
      </c>
    </row>
    <row r="11" spans="2:10">
      <c r="B11" s="4">
        <v>1203</v>
      </c>
      <c r="C11" s="4" t="s">
        <v>18</v>
      </c>
      <c r="D11" s="5">
        <v>6.6400000000000001E-2</v>
      </c>
      <c r="E11" s="4">
        <v>0.5</v>
      </c>
      <c r="F11" s="4">
        <v>0</v>
      </c>
      <c r="G11" s="4">
        <v>500</v>
      </c>
      <c r="H11" s="4">
        <v>8</v>
      </c>
      <c r="I11" s="4">
        <v>-27</v>
      </c>
      <c r="J11" s="4">
        <v>-67</v>
      </c>
    </row>
    <row r="12" spans="2:10">
      <c r="B12" s="4">
        <v>1210</v>
      </c>
      <c r="C12" s="4" t="s">
        <v>19</v>
      </c>
      <c r="D12" s="5">
        <v>0.20449999999999999</v>
      </c>
      <c r="E12" s="4">
        <v>1.2</v>
      </c>
      <c r="F12" s="4">
        <v>0.5</v>
      </c>
      <c r="G12" s="6">
        <v>1700</v>
      </c>
      <c r="H12" s="4">
        <v>263</v>
      </c>
      <c r="I12" s="4">
        <v>144</v>
      </c>
      <c r="J12" s="4">
        <v>8</v>
      </c>
    </row>
    <row r="13" spans="2:10">
      <c r="B13" s="4">
        <v>1215</v>
      </c>
      <c r="C13" s="4" t="s">
        <v>20</v>
      </c>
      <c r="D13" s="5">
        <v>0.26029999999999998</v>
      </c>
      <c r="E13" s="4">
        <v>1</v>
      </c>
      <c r="F13" s="4">
        <v>0</v>
      </c>
      <c r="G13" s="6">
        <v>1000</v>
      </c>
      <c r="H13" s="4">
        <v>210</v>
      </c>
      <c r="I13" s="4">
        <v>140</v>
      </c>
      <c r="J13" s="4">
        <v>60</v>
      </c>
    </row>
    <row r="14" spans="2:10">
      <c r="B14" s="4">
        <v>1216</v>
      </c>
      <c r="C14" s="4" t="s">
        <v>21</v>
      </c>
      <c r="D14" s="5">
        <v>1.38E-2</v>
      </c>
      <c r="E14" s="4">
        <v>1.4</v>
      </c>
      <c r="F14" s="4">
        <v>0.6</v>
      </c>
      <c r="G14" s="6">
        <v>2000</v>
      </c>
      <c r="H14" s="4">
        <v>-72</v>
      </c>
      <c r="I14" s="4">
        <v>-212</v>
      </c>
      <c r="J14" s="4">
        <v>-372</v>
      </c>
    </row>
    <row r="15" spans="2:10">
      <c r="B15" s="4">
        <v>1218</v>
      </c>
      <c r="C15" s="4" t="s">
        <v>22</v>
      </c>
      <c r="D15" s="5">
        <v>0.2122</v>
      </c>
      <c r="E15" s="4">
        <v>0.35</v>
      </c>
      <c r="F15" s="4">
        <v>0.3</v>
      </c>
      <c r="G15" s="4">
        <v>650</v>
      </c>
      <c r="H15" s="4">
        <v>105</v>
      </c>
      <c r="I15" s="4">
        <v>60</v>
      </c>
      <c r="J15" s="4">
        <v>8</v>
      </c>
    </row>
    <row r="16" spans="2:10">
      <c r="B16" s="4">
        <v>1219</v>
      </c>
      <c r="C16" s="4" t="s">
        <v>23</v>
      </c>
      <c r="D16" s="5">
        <v>0.2462</v>
      </c>
      <c r="E16" s="4">
        <v>0.45</v>
      </c>
      <c r="F16" s="4">
        <v>0.3</v>
      </c>
      <c r="G16" s="4">
        <v>750</v>
      </c>
      <c r="H16" s="4">
        <v>147</v>
      </c>
      <c r="I16" s="4">
        <v>95</v>
      </c>
      <c r="J16" s="4">
        <v>35</v>
      </c>
    </row>
    <row r="17" spans="2:10">
      <c r="B17" s="4">
        <v>1225</v>
      </c>
      <c r="C17" s="4" t="s">
        <v>24</v>
      </c>
      <c r="D17" s="5">
        <v>0.21010000000000001</v>
      </c>
      <c r="E17" s="4">
        <v>0.4</v>
      </c>
      <c r="F17" s="4">
        <v>0.4</v>
      </c>
      <c r="G17" s="4">
        <v>800</v>
      </c>
      <c r="H17" s="4">
        <v>128</v>
      </c>
      <c r="I17" s="4">
        <v>72</v>
      </c>
      <c r="J17" s="4">
        <v>8</v>
      </c>
    </row>
    <row r="18" spans="2:10">
      <c r="B18" s="4">
        <v>1227</v>
      </c>
      <c r="C18" s="4" t="s">
        <v>25</v>
      </c>
      <c r="D18" s="5">
        <v>0.24590000000000001</v>
      </c>
      <c r="E18" s="4">
        <v>2.5</v>
      </c>
      <c r="F18" s="4">
        <v>2.5</v>
      </c>
      <c r="G18" s="6">
        <v>5000</v>
      </c>
      <c r="H18" s="4">
        <v>980</v>
      </c>
      <c r="I18" s="4">
        <v>630</v>
      </c>
      <c r="J18" s="4">
        <v>230</v>
      </c>
    </row>
    <row r="19" spans="2:10">
      <c r="B19" s="4">
        <v>1229</v>
      </c>
      <c r="C19" s="4" t="s">
        <v>26</v>
      </c>
      <c r="D19" s="5">
        <v>0.13850000000000001</v>
      </c>
      <c r="E19" s="4">
        <v>1.2</v>
      </c>
      <c r="F19" s="4">
        <v>0.3</v>
      </c>
      <c r="G19" s="6">
        <v>1500</v>
      </c>
      <c r="H19" s="4">
        <v>133</v>
      </c>
      <c r="I19" s="4">
        <v>28</v>
      </c>
      <c r="J19" s="4">
        <v>-92</v>
      </c>
    </row>
    <row r="20" spans="2:10">
      <c r="B20" s="4">
        <v>1231</v>
      </c>
      <c r="C20" s="4" t="s">
        <v>27</v>
      </c>
      <c r="D20" s="5">
        <v>0.22209999999999999</v>
      </c>
      <c r="E20" s="4">
        <v>1.1000000000000001</v>
      </c>
      <c r="F20" s="4">
        <v>0.3</v>
      </c>
      <c r="G20" s="6">
        <v>1400</v>
      </c>
      <c r="H20" s="4">
        <v>241</v>
      </c>
      <c r="I20" s="4">
        <v>143</v>
      </c>
      <c r="J20" s="4">
        <v>31</v>
      </c>
    </row>
    <row r="21" spans="2:10">
      <c r="B21" s="4">
        <v>1232</v>
      </c>
      <c r="C21" s="4" t="s">
        <v>28</v>
      </c>
      <c r="D21" s="5">
        <v>0.1231</v>
      </c>
      <c r="E21" s="4">
        <v>3.5</v>
      </c>
      <c r="F21" s="4">
        <v>0</v>
      </c>
      <c r="G21" s="6">
        <v>3500</v>
      </c>
      <c r="H21" s="4">
        <v>256</v>
      </c>
      <c r="I21" s="4">
        <v>11</v>
      </c>
      <c r="J21" s="4">
        <v>-269</v>
      </c>
    </row>
    <row r="22" spans="2:10">
      <c r="B22" s="4">
        <v>1233</v>
      </c>
      <c r="C22" s="4" t="s">
        <v>29</v>
      </c>
      <c r="D22" s="5">
        <v>0.14979999999999999</v>
      </c>
      <c r="E22" s="4">
        <v>2</v>
      </c>
      <c r="F22" s="4">
        <v>0</v>
      </c>
      <c r="G22" s="6">
        <v>2000</v>
      </c>
      <c r="H22" s="4">
        <v>200</v>
      </c>
      <c r="I22" s="4">
        <v>60</v>
      </c>
      <c r="J22" s="4">
        <v>-100</v>
      </c>
    </row>
    <row r="23" spans="2:10">
      <c r="B23" s="4">
        <v>1234</v>
      </c>
      <c r="C23" s="4" t="s">
        <v>30</v>
      </c>
      <c r="D23" s="5">
        <v>0.25719999999999998</v>
      </c>
      <c r="E23" s="4">
        <v>0.5</v>
      </c>
      <c r="F23" s="4">
        <v>0</v>
      </c>
      <c r="G23" s="4">
        <v>500</v>
      </c>
      <c r="H23" s="4">
        <v>104</v>
      </c>
      <c r="I23" s="4">
        <v>69</v>
      </c>
      <c r="J23" s="4">
        <v>29</v>
      </c>
    </row>
    <row r="24" spans="2:10">
      <c r="B24" s="4">
        <v>1235</v>
      </c>
      <c r="C24" s="4" t="s">
        <v>31</v>
      </c>
      <c r="D24" s="5">
        <v>0.2407</v>
      </c>
      <c r="E24" s="4">
        <v>0</v>
      </c>
      <c r="F24" s="4">
        <v>0.3</v>
      </c>
      <c r="G24" s="4">
        <v>300</v>
      </c>
      <c r="H24" s="4">
        <v>57</v>
      </c>
      <c r="I24" s="4">
        <v>36</v>
      </c>
      <c r="J24" s="4">
        <v>12</v>
      </c>
    </row>
    <row r="25" spans="2:10">
      <c r="B25" s="4">
        <v>1236</v>
      </c>
      <c r="C25" s="4" t="s">
        <v>32</v>
      </c>
      <c r="D25" s="5">
        <v>0.20419999999999999</v>
      </c>
      <c r="E25" s="4">
        <v>0.7</v>
      </c>
      <c r="F25" s="4">
        <v>0.7</v>
      </c>
      <c r="G25" s="6">
        <v>1400</v>
      </c>
      <c r="H25" s="4">
        <v>216</v>
      </c>
      <c r="I25" s="4">
        <v>118</v>
      </c>
      <c r="J25" s="4">
        <v>6</v>
      </c>
    </row>
    <row r="26" spans="2:10">
      <c r="B26" s="4">
        <v>1301</v>
      </c>
      <c r="C26" s="4" t="s">
        <v>33</v>
      </c>
      <c r="D26" s="5">
        <v>7.3899999999999993E-2</v>
      </c>
      <c r="E26" s="4">
        <v>6.8</v>
      </c>
      <c r="F26" s="4">
        <v>0</v>
      </c>
      <c r="G26" s="6">
        <v>6800</v>
      </c>
      <c r="H26" s="4">
        <v>163</v>
      </c>
      <c r="I26" s="4">
        <v>-313</v>
      </c>
      <c r="J26" s="4">
        <v>-857</v>
      </c>
    </row>
    <row r="27" spans="2:10">
      <c r="B27" s="4">
        <v>1303</v>
      </c>
      <c r="C27" s="4" t="s">
        <v>34</v>
      </c>
      <c r="D27" s="5">
        <v>1.8200000000000001E-2</v>
      </c>
      <c r="E27" s="4">
        <v>4.7</v>
      </c>
      <c r="F27" s="4">
        <v>0</v>
      </c>
      <c r="G27" s="6">
        <v>4700</v>
      </c>
      <c r="H27" s="4">
        <v>-149</v>
      </c>
      <c r="I27" s="4">
        <v>-478</v>
      </c>
      <c r="J27" s="4">
        <v>-854</v>
      </c>
    </row>
    <row r="28" spans="2:10">
      <c r="B28" s="4">
        <v>1304</v>
      </c>
      <c r="C28" s="4" t="s">
        <v>35</v>
      </c>
      <c r="D28" s="5">
        <v>0.1754</v>
      </c>
      <c r="E28" s="4">
        <v>1</v>
      </c>
      <c r="F28" s="4">
        <v>1.5</v>
      </c>
      <c r="G28" s="6">
        <v>2500</v>
      </c>
      <c r="H28" s="4">
        <v>314</v>
      </c>
      <c r="I28" s="4">
        <v>139</v>
      </c>
      <c r="J28" s="4">
        <v>-62</v>
      </c>
    </row>
    <row r="29" spans="2:10">
      <c r="B29" s="4">
        <v>1307</v>
      </c>
      <c r="C29" s="4" t="s">
        <v>36</v>
      </c>
      <c r="D29" s="5">
        <v>4.5400000000000003E-2</v>
      </c>
      <c r="E29" s="4">
        <v>1.2</v>
      </c>
      <c r="F29" s="4">
        <v>1</v>
      </c>
      <c r="G29" s="6">
        <v>2200</v>
      </c>
      <c r="H29" s="4">
        <v>-10</v>
      </c>
      <c r="I29" s="4">
        <v>-164</v>
      </c>
      <c r="J29" s="4">
        <v>-340</v>
      </c>
    </row>
    <row r="30" spans="2:10">
      <c r="B30" s="4">
        <v>1308</v>
      </c>
      <c r="C30" s="4" t="s">
        <v>37</v>
      </c>
      <c r="D30" s="5">
        <v>0.14710000000000001</v>
      </c>
      <c r="E30" s="4">
        <v>1.5</v>
      </c>
      <c r="F30" s="4">
        <v>2.5</v>
      </c>
      <c r="G30" s="6">
        <v>4000</v>
      </c>
      <c r="H30" s="4">
        <v>388</v>
      </c>
      <c r="I30" s="4">
        <v>108</v>
      </c>
      <c r="J30" s="4">
        <v>-212</v>
      </c>
    </row>
    <row r="31" spans="2:10">
      <c r="B31" s="4">
        <v>1309</v>
      </c>
      <c r="C31" s="4" t="s">
        <v>38</v>
      </c>
      <c r="D31" s="5">
        <v>0.1124</v>
      </c>
      <c r="E31" s="4">
        <v>0.5</v>
      </c>
      <c r="F31" s="4">
        <v>1.2</v>
      </c>
      <c r="G31" s="6">
        <v>1700</v>
      </c>
      <c r="H31" s="4">
        <v>106</v>
      </c>
      <c r="I31" s="4">
        <v>-13</v>
      </c>
      <c r="J31" s="4">
        <v>-149</v>
      </c>
    </row>
    <row r="32" spans="2:10">
      <c r="B32" s="4">
        <v>1312</v>
      </c>
      <c r="C32" s="4" t="s">
        <v>39</v>
      </c>
      <c r="D32" s="5">
        <v>0.1013</v>
      </c>
      <c r="E32" s="4">
        <v>1</v>
      </c>
      <c r="F32" s="4">
        <v>0</v>
      </c>
      <c r="G32" s="6">
        <v>1000</v>
      </c>
      <c r="H32" s="4">
        <v>51</v>
      </c>
      <c r="I32" s="4">
        <v>-19</v>
      </c>
      <c r="J32" s="4">
        <v>-99</v>
      </c>
    </row>
    <row r="33" spans="2:10">
      <c r="B33" s="4">
        <v>1313</v>
      </c>
      <c r="C33" s="4" t="s">
        <v>40</v>
      </c>
      <c r="D33" s="5">
        <v>0</v>
      </c>
      <c r="E33" s="4">
        <v>2</v>
      </c>
      <c r="F33" s="4">
        <v>0</v>
      </c>
      <c r="G33" s="6">
        <v>2000</v>
      </c>
      <c r="H33" s="4">
        <v>-100</v>
      </c>
      <c r="I33" s="4">
        <v>-240</v>
      </c>
      <c r="J33" s="4">
        <v>-400</v>
      </c>
    </row>
    <row r="34" spans="2:10">
      <c r="B34" s="4">
        <v>1314</v>
      </c>
      <c r="C34" s="4" t="s">
        <v>41</v>
      </c>
      <c r="D34" s="5">
        <v>0.20480000000000001</v>
      </c>
      <c r="E34" s="4">
        <v>1</v>
      </c>
      <c r="F34" s="4">
        <v>1</v>
      </c>
      <c r="G34" s="6">
        <v>2000</v>
      </c>
      <c r="H34" s="4">
        <v>310</v>
      </c>
      <c r="I34" s="4">
        <v>170</v>
      </c>
      <c r="J34" s="4">
        <v>10</v>
      </c>
    </row>
    <row r="35" spans="2:10">
      <c r="B35" s="4">
        <v>1315</v>
      </c>
      <c r="C35" s="4" t="s">
        <v>42</v>
      </c>
      <c r="D35" s="5">
        <v>0.17710000000000001</v>
      </c>
      <c r="E35" s="4">
        <v>1</v>
      </c>
      <c r="F35" s="4">
        <v>0</v>
      </c>
      <c r="G35" s="6">
        <v>1000</v>
      </c>
      <c r="H35" s="4">
        <v>127</v>
      </c>
      <c r="I35" s="4">
        <v>57</v>
      </c>
      <c r="J35" s="4">
        <v>-23</v>
      </c>
    </row>
    <row r="36" spans="2:10">
      <c r="B36" s="4">
        <v>1319</v>
      </c>
      <c r="C36" s="4" t="s">
        <v>43</v>
      </c>
      <c r="D36" s="5">
        <v>0.2</v>
      </c>
      <c r="E36" s="4">
        <v>0.4</v>
      </c>
      <c r="F36" s="4">
        <v>0.7</v>
      </c>
      <c r="G36" s="6">
        <v>1100</v>
      </c>
      <c r="H36" s="4">
        <v>165</v>
      </c>
      <c r="I36" s="4">
        <v>88</v>
      </c>
      <c r="J36" s="4">
        <v>0</v>
      </c>
    </row>
    <row r="37" spans="2:10">
      <c r="B37" s="4">
        <v>1323</v>
      </c>
      <c r="C37" s="4" t="s">
        <v>44</v>
      </c>
      <c r="D37" s="5">
        <v>9.8599999999999993E-2</v>
      </c>
      <c r="E37" s="4">
        <v>1.5</v>
      </c>
      <c r="F37" s="4">
        <v>0</v>
      </c>
      <c r="G37" s="6">
        <v>1500</v>
      </c>
      <c r="H37" s="4">
        <v>73</v>
      </c>
      <c r="I37" s="4">
        <v>-32</v>
      </c>
      <c r="J37" s="4">
        <v>-152</v>
      </c>
    </row>
    <row r="38" spans="2:10">
      <c r="B38" s="4">
        <v>1324</v>
      </c>
      <c r="C38" s="4" t="s">
        <v>45</v>
      </c>
      <c r="D38" s="5">
        <v>0.33939999999999998</v>
      </c>
      <c r="E38" s="4">
        <v>0.4</v>
      </c>
      <c r="F38" s="4">
        <v>0</v>
      </c>
      <c r="G38" s="4">
        <v>400</v>
      </c>
      <c r="H38" s="4">
        <v>116</v>
      </c>
      <c r="I38" s="4">
        <v>88</v>
      </c>
      <c r="J38" s="4">
        <v>56</v>
      </c>
    </row>
    <row r="39" spans="2:10">
      <c r="B39" s="4">
        <v>1325</v>
      </c>
      <c r="C39" s="4" t="s">
        <v>46</v>
      </c>
      <c r="D39" s="5">
        <v>0.11899999999999999</v>
      </c>
      <c r="E39" s="4">
        <v>0.35</v>
      </c>
      <c r="F39" s="4">
        <v>0.65</v>
      </c>
      <c r="G39" s="6">
        <v>1000</v>
      </c>
      <c r="H39" s="4">
        <v>69</v>
      </c>
      <c r="I39" s="4">
        <v>-1</v>
      </c>
      <c r="J39" s="4">
        <v>-81</v>
      </c>
    </row>
    <row r="40" spans="2:10">
      <c r="B40" s="4">
        <v>1326</v>
      </c>
      <c r="C40" s="4" t="s">
        <v>47</v>
      </c>
      <c r="D40" s="5">
        <v>0.12280000000000001</v>
      </c>
      <c r="E40" s="4">
        <v>7.5</v>
      </c>
      <c r="F40" s="4">
        <v>0</v>
      </c>
      <c r="G40" s="6">
        <v>7500</v>
      </c>
      <c r="H40" s="4">
        <v>546</v>
      </c>
      <c r="I40" s="4">
        <v>21</v>
      </c>
      <c r="J40" s="4">
        <v>-579</v>
      </c>
    </row>
    <row r="41" spans="2:10">
      <c r="B41" s="4">
        <v>1336</v>
      </c>
      <c r="C41" s="4" t="s">
        <v>48</v>
      </c>
      <c r="D41" s="5">
        <v>0.3256</v>
      </c>
      <c r="E41" s="4">
        <v>0.6</v>
      </c>
      <c r="F41" s="4">
        <v>0</v>
      </c>
      <c r="G41" s="4">
        <v>600</v>
      </c>
      <c r="H41" s="4">
        <v>165</v>
      </c>
      <c r="I41" s="4">
        <v>123</v>
      </c>
      <c r="J41" s="4">
        <v>75</v>
      </c>
    </row>
    <row r="42" spans="2:10">
      <c r="B42" s="4">
        <v>1402</v>
      </c>
      <c r="C42" s="4" t="s">
        <v>49</v>
      </c>
      <c r="D42" s="5">
        <v>0</v>
      </c>
      <c r="E42" s="4">
        <v>2</v>
      </c>
      <c r="F42" s="4">
        <v>0.3</v>
      </c>
      <c r="G42" s="6">
        <v>2300</v>
      </c>
      <c r="H42" s="4">
        <v>-115</v>
      </c>
      <c r="I42" s="4">
        <v>-276</v>
      </c>
      <c r="J42" s="4">
        <v>-460</v>
      </c>
    </row>
    <row r="43" spans="2:10">
      <c r="B43" s="4">
        <v>1409</v>
      </c>
      <c r="C43" s="4" t="s">
        <v>50</v>
      </c>
      <c r="D43" s="5">
        <v>7.2400000000000006E-2</v>
      </c>
      <c r="E43" s="4">
        <v>0.35</v>
      </c>
      <c r="F43" s="4">
        <v>0.55000000000000004</v>
      </c>
      <c r="G43" s="4">
        <v>900</v>
      </c>
      <c r="H43" s="4">
        <v>20</v>
      </c>
      <c r="I43" s="4">
        <v>-43</v>
      </c>
      <c r="J43" s="4">
        <v>-115</v>
      </c>
    </row>
    <row r="44" spans="2:10">
      <c r="B44" s="4">
        <v>1410</v>
      </c>
      <c r="C44" s="4" t="s">
        <v>51</v>
      </c>
      <c r="D44" s="5">
        <v>0.33329999999999999</v>
      </c>
      <c r="E44" s="4">
        <v>0.16</v>
      </c>
      <c r="F44" s="4">
        <v>0</v>
      </c>
      <c r="G44" s="4">
        <v>160</v>
      </c>
      <c r="H44" s="4">
        <v>45</v>
      </c>
      <c r="I44" s="4">
        <v>34</v>
      </c>
      <c r="J44" s="4">
        <v>21</v>
      </c>
    </row>
    <row r="45" spans="2:10">
      <c r="B45" s="4">
        <v>1416</v>
      </c>
      <c r="C45" s="4" t="s">
        <v>52</v>
      </c>
      <c r="D45" s="5">
        <v>6.3200000000000006E-2</v>
      </c>
      <c r="E45" s="4">
        <v>0.5</v>
      </c>
      <c r="F45" s="4">
        <v>0</v>
      </c>
      <c r="G45" s="4">
        <v>500</v>
      </c>
      <c r="H45" s="4">
        <v>7</v>
      </c>
      <c r="I45" s="4">
        <v>-28</v>
      </c>
      <c r="J45" s="4">
        <v>-68</v>
      </c>
    </row>
    <row r="46" spans="2:10">
      <c r="B46" s="4">
        <v>1419</v>
      </c>
      <c r="C46" s="4" t="s">
        <v>53</v>
      </c>
      <c r="D46" s="5">
        <v>0.32869999999999999</v>
      </c>
      <c r="E46" s="4">
        <v>0.7</v>
      </c>
      <c r="F46" s="4">
        <v>0</v>
      </c>
      <c r="G46" s="4">
        <v>700</v>
      </c>
      <c r="H46" s="4">
        <v>195</v>
      </c>
      <c r="I46" s="4">
        <v>146</v>
      </c>
      <c r="J46" s="4">
        <v>90</v>
      </c>
    </row>
    <row r="47" spans="2:10">
      <c r="B47" s="4">
        <v>1434</v>
      </c>
      <c r="C47" s="4" t="s">
        <v>54</v>
      </c>
      <c r="D47" s="5">
        <v>8.1900000000000001E-2</v>
      </c>
      <c r="E47" s="4">
        <v>2</v>
      </c>
      <c r="F47" s="4">
        <v>0</v>
      </c>
      <c r="G47" s="6">
        <v>2000</v>
      </c>
      <c r="H47" s="4">
        <v>64</v>
      </c>
      <c r="I47" s="4">
        <v>-76</v>
      </c>
      <c r="J47" s="4">
        <v>-236</v>
      </c>
    </row>
    <row r="48" spans="2:10">
      <c r="B48" s="4">
        <v>1436</v>
      </c>
      <c r="C48" s="4" t="s">
        <v>55</v>
      </c>
      <c r="D48" s="5">
        <v>0.20480000000000001</v>
      </c>
      <c r="E48" s="4">
        <v>0.16888</v>
      </c>
      <c r="F48" s="4">
        <v>1.8769999999999998E-2</v>
      </c>
      <c r="G48" s="4">
        <v>188</v>
      </c>
      <c r="H48" s="4">
        <v>29</v>
      </c>
      <c r="I48" s="4">
        <v>16</v>
      </c>
      <c r="J48" s="4">
        <v>1</v>
      </c>
    </row>
    <row r="49" spans="2:10">
      <c r="B49" s="4">
        <v>1437</v>
      </c>
      <c r="C49" s="4" t="s">
        <v>56</v>
      </c>
      <c r="D49" s="5">
        <v>0.20480000000000001</v>
      </c>
      <c r="E49" s="4">
        <v>0.15</v>
      </c>
      <c r="F49" s="4">
        <v>0</v>
      </c>
      <c r="G49" s="4">
        <v>150</v>
      </c>
      <c r="H49" s="4">
        <v>23</v>
      </c>
      <c r="I49" s="4">
        <v>13</v>
      </c>
      <c r="J49" s="4">
        <v>1</v>
      </c>
    </row>
    <row r="50" spans="2:10">
      <c r="B50" s="4">
        <v>1439</v>
      </c>
      <c r="C50" s="4" t="s">
        <v>57</v>
      </c>
      <c r="D50" s="5">
        <v>0</v>
      </c>
      <c r="E50" s="4">
        <v>10</v>
      </c>
      <c r="F50" s="4">
        <v>0</v>
      </c>
      <c r="G50" s="6">
        <v>10000</v>
      </c>
      <c r="H50" s="4">
        <v>-500</v>
      </c>
      <c r="I50" s="4">
        <v>-1200</v>
      </c>
      <c r="J50" s="4">
        <v>-2000</v>
      </c>
    </row>
    <row r="51" spans="2:10">
      <c r="B51" s="4">
        <v>1440</v>
      </c>
      <c r="C51" s="4" t="s">
        <v>58</v>
      </c>
      <c r="D51" s="5">
        <v>3.1199999999999999E-2</v>
      </c>
      <c r="E51" s="4">
        <v>0.8</v>
      </c>
      <c r="F51" s="4">
        <v>0.3</v>
      </c>
      <c r="G51" s="6">
        <v>1100</v>
      </c>
      <c r="H51" s="4">
        <v>-21</v>
      </c>
      <c r="I51" s="4">
        <v>-98</v>
      </c>
      <c r="J51" s="4">
        <v>-186</v>
      </c>
    </row>
    <row r="52" spans="2:10">
      <c r="B52" s="4">
        <v>1442</v>
      </c>
      <c r="C52" s="4" t="s">
        <v>59</v>
      </c>
      <c r="D52" s="5">
        <v>4.7399999999999998E-2</v>
      </c>
      <c r="E52" s="4">
        <v>1.8</v>
      </c>
      <c r="F52" s="4">
        <v>0.2</v>
      </c>
      <c r="G52" s="6">
        <v>2000</v>
      </c>
      <c r="H52" s="4">
        <v>-5</v>
      </c>
      <c r="I52" s="4">
        <v>-145</v>
      </c>
      <c r="J52" s="4">
        <v>-305</v>
      </c>
    </row>
    <row r="53" spans="2:10">
      <c r="B53" s="4">
        <v>1444</v>
      </c>
      <c r="C53" s="4" t="s">
        <v>60</v>
      </c>
      <c r="D53" s="5">
        <v>3.1699999999999999E-2</v>
      </c>
      <c r="E53" s="4">
        <v>0.5</v>
      </c>
      <c r="F53" s="4">
        <v>1.3</v>
      </c>
      <c r="G53" s="6">
        <v>1800</v>
      </c>
      <c r="H53" s="4">
        <v>-33</v>
      </c>
      <c r="I53" s="4">
        <v>-159</v>
      </c>
      <c r="J53" s="4">
        <v>-303</v>
      </c>
    </row>
    <row r="54" spans="2:10">
      <c r="B54" s="4">
        <v>1445</v>
      </c>
      <c r="C54" s="4" t="s">
        <v>61</v>
      </c>
      <c r="D54" s="5">
        <v>3.2500000000000001E-2</v>
      </c>
      <c r="E54" s="4">
        <v>0.5</v>
      </c>
      <c r="F54" s="4">
        <v>0</v>
      </c>
      <c r="G54" s="4">
        <v>500</v>
      </c>
      <c r="H54" s="4">
        <v>-9</v>
      </c>
      <c r="I54" s="4">
        <v>-44</v>
      </c>
      <c r="J54" s="4">
        <v>-84</v>
      </c>
    </row>
    <row r="55" spans="2:10">
      <c r="B55" s="4">
        <v>1447</v>
      </c>
      <c r="C55" s="4" t="s">
        <v>62</v>
      </c>
      <c r="D55" s="5">
        <v>6.9500000000000006E-2</v>
      </c>
      <c r="E55" s="4">
        <v>0.5</v>
      </c>
      <c r="F55" s="4">
        <v>1</v>
      </c>
      <c r="G55" s="6">
        <v>1500</v>
      </c>
      <c r="H55" s="4">
        <v>29</v>
      </c>
      <c r="I55" s="4">
        <v>-76</v>
      </c>
      <c r="J55" s="4">
        <v>-196</v>
      </c>
    </row>
    <row r="56" spans="2:10">
      <c r="B56" s="4">
        <v>1451</v>
      </c>
      <c r="C56" s="4" t="s">
        <v>63</v>
      </c>
      <c r="D56" s="5">
        <v>0.1275</v>
      </c>
      <c r="E56" s="4">
        <v>1.25</v>
      </c>
      <c r="F56" s="4">
        <v>0</v>
      </c>
      <c r="G56" s="6">
        <v>1250</v>
      </c>
      <c r="H56" s="4">
        <v>97</v>
      </c>
      <c r="I56" s="4">
        <v>9</v>
      </c>
      <c r="J56" s="4">
        <v>-91</v>
      </c>
    </row>
    <row r="57" spans="2:10">
      <c r="B57" s="4">
        <v>1452</v>
      </c>
      <c r="C57" s="4" t="s">
        <v>64</v>
      </c>
      <c r="D57" s="5">
        <v>0.13200000000000001</v>
      </c>
      <c r="E57" s="4">
        <v>0.8</v>
      </c>
      <c r="F57" s="4">
        <v>0.4</v>
      </c>
      <c r="G57" s="6">
        <v>1200</v>
      </c>
      <c r="H57" s="4">
        <v>98</v>
      </c>
      <c r="I57" s="4">
        <v>14</v>
      </c>
      <c r="J57" s="4">
        <v>-82</v>
      </c>
    </row>
    <row r="58" spans="2:10">
      <c r="B58" s="4">
        <v>1453</v>
      </c>
      <c r="C58" s="4" t="s">
        <v>65</v>
      </c>
      <c r="D58" s="5">
        <v>0.1231</v>
      </c>
      <c r="E58" s="4">
        <v>0</v>
      </c>
      <c r="F58" s="4">
        <v>0.5</v>
      </c>
      <c r="G58" s="4">
        <v>500</v>
      </c>
      <c r="H58" s="4">
        <v>37</v>
      </c>
      <c r="I58" s="4">
        <v>2</v>
      </c>
      <c r="J58" s="4">
        <v>-38</v>
      </c>
    </row>
    <row r="59" spans="2:10">
      <c r="B59" s="4">
        <v>1454</v>
      </c>
      <c r="C59" s="4" t="s">
        <v>66</v>
      </c>
      <c r="D59" s="5">
        <v>0.20480000000000001</v>
      </c>
      <c r="E59" s="4">
        <v>0</v>
      </c>
      <c r="F59" s="4">
        <v>0.5</v>
      </c>
      <c r="G59" s="4">
        <v>500</v>
      </c>
      <c r="H59" s="4">
        <v>77</v>
      </c>
      <c r="I59" s="4">
        <v>42</v>
      </c>
      <c r="J59" s="4">
        <v>2</v>
      </c>
    </row>
    <row r="60" spans="2:10">
      <c r="B60" s="4">
        <v>1455</v>
      </c>
      <c r="C60" s="4" t="s">
        <v>67</v>
      </c>
      <c r="D60" s="5">
        <v>4.48E-2</v>
      </c>
      <c r="E60" s="4">
        <v>0.6</v>
      </c>
      <c r="F60" s="4">
        <v>0.6</v>
      </c>
      <c r="G60" s="6">
        <v>1200</v>
      </c>
      <c r="H60" s="4">
        <v>-6</v>
      </c>
      <c r="I60" s="4">
        <v>-90</v>
      </c>
      <c r="J60" s="4">
        <v>-186</v>
      </c>
    </row>
    <row r="61" spans="2:10">
      <c r="B61" s="4">
        <v>1457</v>
      </c>
      <c r="C61" s="4" t="s">
        <v>68</v>
      </c>
      <c r="D61" s="5">
        <v>0.20480000000000001</v>
      </c>
      <c r="E61" s="4">
        <v>0.2</v>
      </c>
      <c r="F61" s="4">
        <v>0.32</v>
      </c>
      <c r="G61" s="4">
        <v>520</v>
      </c>
      <c r="H61" s="4">
        <v>80</v>
      </c>
      <c r="I61" s="4">
        <v>44</v>
      </c>
      <c r="J61" s="4">
        <v>2</v>
      </c>
    </row>
    <row r="62" spans="2:10">
      <c r="B62" s="4">
        <v>1459</v>
      </c>
      <c r="C62" s="4" t="s">
        <v>69</v>
      </c>
      <c r="D62" s="5">
        <v>1.14E-2</v>
      </c>
      <c r="E62" s="4">
        <v>0.7</v>
      </c>
      <c r="F62" s="4">
        <v>0.8</v>
      </c>
      <c r="G62" s="6">
        <v>1500</v>
      </c>
      <c r="H62" s="4">
        <v>-58</v>
      </c>
      <c r="I62" s="4">
        <v>-163</v>
      </c>
      <c r="J62" s="4">
        <v>-283</v>
      </c>
    </row>
    <row r="63" spans="2:10">
      <c r="B63" s="4">
        <v>1464</v>
      </c>
      <c r="C63" s="4" t="s">
        <v>70</v>
      </c>
      <c r="D63" s="5">
        <v>3.4799999999999998E-2</v>
      </c>
      <c r="E63" s="4">
        <v>0.15</v>
      </c>
      <c r="F63" s="4">
        <v>0</v>
      </c>
      <c r="G63" s="4">
        <v>150</v>
      </c>
      <c r="H63" s="4">
        <v>-2</v>
      </c>
      <c r="I63" s="4">
        <v>-13</v>
      </c>
      <c r="J63" s="4">
        <v>-25</v>
      </c>
    </row>
    <row r="64" spans="2:10">
      <c r="B64" s="4">
        <v>1465</v>
      </c>
      <c r="C64" s="4" t="s">
        <v>71</v>
      </c>
      <c r="D64" s="5">
        <v>3.0200000000000001E-2</v>
      </c>
      <c r="E64" s="4">
        <v>2.2000000000000002</v>
      </c>
      <c r="F64" s="4">
        <v>0</v>
      </c>
      <c r="G64" s="6">
        <v>2200</v>
      </c>
      <c r="H64" s="4">
        <v>-44</v>
      </c>
      <c r="I64" s="4">
        <v>-198</v>
      </c>
      <c r="J64" s="4">
        <v>-374</v>
      </c>
    </row>
    <row r="65" spans="2:10">
      <c r="B65" s="4">
        <v>1466</v>
      </c>
      <c r="C65" s="4" t="s">
        <v>72</v>
      </c>
      <c r="D65" s="5">
        <v>0</v>
      </c>
      <c r="E65" s="4">
        <v>0.3</v>
      </c>
      <c r="F65" s="4">
        <v>0.4</v>
      </c>
      <c r="G65" s="4">
        <v>700</v>
      </c>
      <c r="H65" s="4">
        <v>-35</v>
      </c>
      <c r="I65" s="4">
        <v>-84</v>
      </c>
      <c r="J65" s="4">
        <v>-140</v>
      </c>
    </row>
    <row r="66" spans="2:10">
      <c r="B66" s="4">
        <v>1470</v>
      </c>
      <c r="C66" s="4" t="s">
        <v>73</v>
      </c>
      <c r="D66" s="5">
        <v>0.1056</v>
      </c>
      <c r="E66" s="4">
        <v>0.2</v>
      </c>
      <c r="F66" s="4">
        <v>0</v>
      </c>
      <c r="G66" s="4">
        <v>200</v>
      </c>
      <c r="H66" s="4">
        <v>11</v>
      </c>
      <c r="I66" s="4">
        <v>-3</v>
      </c>
      <c r="J66" s="4">
        <v>-19</v>
      </c>
    </row>
    <row r="67" spans="2:10">
      <c r="B67" s="4">
        <v>1473</v>
      </c>
      <c r="C67" s="4" t="s">
        <v>74</v>
      </c>
      <c r="D67" s="5">
        <v>0.1057</v>
      </c>
      <c r="E67" s="4">
        <v>2.4</v>
      </c>
      <c r="F67" s="4">
        <v>0</v>
      </c>
      <c r="G67" s="6">
        <v>2400</v>
      </c>
      <c r="H67" s="4">
        <v>134</v>
      </c>
      <c r="I67" s="4">
        <v>-34</v>
      </c>
      <c r="J67" s="4">
        <v>-226</v>
      </c>
    </row>
    <row r="68" spans="2:10">
      <c r="B68" s="4">
        <v>1474</v>
      </c>
      <c r="C68" s="4" t="s">
        <v>75</v>
      </c>
      <c r="D68" s="5">
        <v>0.39889999999999998</v>
      </c>
      <c r="E68" s="4">
        <v>0.4</v>
      </c>
      <c r="F68" s="4">
        <v>0</v>
      </c>
      <c r="G68" s="4">
        <v>400</v>
      </c>
      <c r="H68" s="4">
        <v>140</v>
      </c>
      <c r="I68" s="4">
        <v>112</v>
      </c>
      <c r="J68" s="4">
        <v>80</v>
      </c>
    </row>
    <row r="69" spans="2:10">
      <c r="B69" s="4">
        <v>1476</v>
      </c>
      <c r="C69" s="4" t="s">
        <v>76</v>
      </c>
      <c r="D69" s="5">
        <v>0.24160000000000001</v>
      </c>
      <c r="E69" s="4">
        <v>2</v>
      </c>
      <c r="F69" s="4">
        <v>0.6</v>
      </c>
      <c r="G69" s="6">
        <v>2600</v>
      </c>
      <c r="H69" s="4">
        <v>498</v>
      </c>
      <c r="I69" s="4">
        <v>316</v>
      </c>
      <c r="J69" s="4">
        <v>108</v>
      </c>
    </row>
    <row r="70" spans="2:10">
      <c r="B70" s="4">
        <v>1477</v>
      </c>
      <c r="C70" s="4" t="s">
        <v>77</v>
      </c>
      <c r="D70" s="5">
        <v>0.218</v>
      </c>
      <c r="E70" s="4">
        <v>4.5999999999999996</v>
      </c>
      <c r="F70" s="4">
        <v>0</v>
      </c>
      <c r="G70" s="6">
        <v>4600</v>
      </c>
      <c r="H70" s="4">
        <v>773</v>
      </c>
      <c r="I70" s="4">
        <v>451</v>
      </c>
      <c r="J70" s="4">
        <v>83</v>
      </c>
    </row>
    <row r="71" spans="2:10">
      <c r="B71" s="4">
        <v>1503</v>
      </c>
      <c r="C71" s="4" t="s">
        <v>78</v>
      </c>
      <c r="D71" s="5">
        <v>0.16220000000000001</v>
      </c>
      <c r="E71" s="4">
        <v>1.2</v>
      </c>
      <c r="F71" s="4">
        <v>0</v>
      </c>
      <c r="G71" s="6">
        <v>1200</v>
      </c>
      <c r="H71" s="4">
        <v>135</v>
      </c>
      <c r="I71" s="4">
        <v>51</v>
      </c>
      <c r="J71" s="4">
        <v>-45</v>
      </c>
    </row>
    <row r="72" spans="2:10">
      <c r="B72" s="4">
        <v>1504</v>
      </c>
      <c r="C72" s="4" t="s">
        <v>79</v>
      </c>
      <c r="D72" s="5">
        <v>6.2E-2</v>
      </c>
      <c r="E72" s="4">
        <v>0.8</v>
      </c>
      <c r="F72" s="4">
        <v>0</v>
      </c>
      <c r="G72" s="4">
        <v>800</v>
      </c>
      <c r="H72" s="4">
        <v>10</v>
      </c>
      <c r="I72" s="4">
        <v>-46</v>
      </c>
      <c r="J72" s="4">
        <v>-110</v>
      </c>
    </row>
    <row r="73" spans="2:10">
      <c r="B73" s="4">
        <v>1507</v>
      </c>
      <c r="C73" s="4" t="s">
        <v>80</v>
      </c>
      <c r="D73" s="5">
        <v>7.3999999999999996E-2</v>
      </c>
      <c r="E73" s="4">
        <v>2</v>
      </c>
      <c r="F73" s="4">
        <v>0</v>
      </c>
      <c r="G73" s="6">
        <v>2000</v>
      </c>
      <c r="H73" s="4">
        <v>48</v>
      </c>
      <c r="I73" s="4">
        <v>-92</v>
      </c>
      <c r="J73" s="4">
        <v>-252</v>
      </c>
    </row>
    <row r="74" spans="2:10">
      <c r="B74" s="4">
        <v>1512</v>
      </c>
      <c r="C74" s="4" t="s">
        <v>81</v>
      </c>
      <c r="D74" s="5">
        <v>2.18E-2</v>
      </c>
      <c r="E74" s="4">
        <v>0.5</v>
      </c>
      <c r="F74" s="4">
        <v>0</v>
      </c>
      <c r="G74" s="4">
        <v>500</v>
      </c>
      <c r="H74" s="4">
        <v>-14</v>
      </c>
      <c r="I74" s="4">
        <v>-49</v>
      </c>
      <c r="J74" s="4">
        <v>-89</v>
      </c>
    </row>
    <row r="75" spans="2:10">
      <c r="B75" s="4">
        <v>1513</v>
      </c>
      <c r="C75" s="4" t="s">
        <v>82</v>
      </c>
      <c r="D75" s="5">
        <v>9.6100000000000005E-2</v>
      </c>
      <c r="E75" s="4">
        <v>1</v>
      </c>
      <c r="F75" s="4">
        <v>0</v>
      </c>
      <c r="G75" s="6">
        <v>1000</v>
      </c>
      <c r="H75" s="4">
        <v>46</v>
      </c>
      <c r="I75" s="4">
        <v>-24</v>
      </c>
      <c r="J75" s="4">
        <v>-104</v>
      </c>
    </row>
    <row r="76" spans="2:10">
      <c r="B76" s="4">
        <v>1514</v>
      </c>
      <c r="C76" s="4" t="s">
        <v>83</v>
      </c>
      <c r="D76" s="5">
        <v>0.19009999999999999</v>
      </c>
      <c r="E76" s="4">
        <v>0.3</v>
      </c>
      <c r="F76" s="4">
        <v>0</v>
      </c>
      <c r="G76" s="4">
        <v>300</v>
      </c>
      <c r="H76" s="4">
        <v>42</v>
      </c>
      <c r="I76" s="4">
        <v>21</v>
      </c>
      <c r="J76" s="4">
        <v>-3</v>
      </c>
    </row>
    <row r="77" spans="2:10">
      <c r="B77" s="4">
        <v>1517</v>
      </c>
      <c r="C77" s="4" t="s">
        <v>84</v>
      </c>
      <c r="D77" s="5">
        <v>9.4700000000000006E-2</v>
      </c>
      <c r="E77" s="4">
        <v>0.7</v>
      </c>
      <c r="F77" s="4">
        <v>0</v>
      </c>
      <c r="G77" s="4">
        <v>700</v>
      </c>
      <c r="H77" s="4">
        <v>31</v>
      </c>
      <c r="I77" s="4">
        <v>-18</v>
      </c>
      <c r="J77" s="4">
        <v>-74</v>
      </c>
    </row>
    <row r="78" spans="2:10">
      <c r="B78" s="4">
        <v>1519</v>
      </c>
      <c r="C78" s="4" t="s">
        <v>85</v>
      </c>
      <c r="D78" s="5">
        <v>0.14430000000000001</v>
      </c>
      <c r="E78" s="4">
        <v>1</v>
      </c>
      <c r="F78" s="4">
        <v>0</v>
      </c>
      <c r="G78" s="6">
        <v>1000</v>
      </c>
      <c r="H78" s="4">
        <v>94</v>
      </c>
      <c r="I78" s="4">
        <v>24</v>
      </c>
      <c r="J78" s="4">
        <v>-56</v>
      </c>
    </row>
    <row r="79" spans="2:10">
      <c r="B79" s="4">
        <v>1521</v>
      </c>
      <c r="C79" s="4" t="s">
        <v>86</v>
      </c>
      <c r="D79" s="5">
        <v>0.11600000000000001</v>
      </c>
      <c r="E79" s="4">
        <v>4</v>
      </c>
      <c r="F79" s="4">
        <v>0</v>
      </c>
      <c r="G79" s="6">
        <v>4000</v>
      </c>
      <c r="H79" s="4">
        <v>264</v>
      </c>
      <c r="I79" s="4">
        <v>-16</v>
      </c>
      <c r="J79" s="4">
        <v>-336</v>
      </c>
    </row>
    <row r="80" spans="2:10">
      <c r="B80" s="4">
        <v>1522</v>
      </c>
      <c r="C80" s="4" t="s">
        <v>87</v>
      </c>
      <c r="D80" s="5">
        <v>0.1426</v>
      </c>
      <c r="E80" s="4">
        <v>0</v>
      </c>
      <c r="F80" s="4">
        <v>0.3</v>
      </c>
      <c r="G80" s="4">
        <v>300</v>
      </c>
      <c r="H80" s="4">
        <v>28</v>
      </c>
      <c r="I80" s="4">
        <v>7</v>
      </c>
      <c r="J80" s="4">
        <v>-17</v>
      </c>
    </row>
    <row r="81" spans="2:10">
      <c r="B81" s="4">
        <v>1525</v>
      </c>
      <c r="C81" s="4" t="s">
        <v>88</v>
      </c>
      <c r="D81" s="5">
        <v>3.44E-2</v>
      </c>
      <c r="E81" s="4">
        <v>1.5</v>
      </c>
      <c r="F81" s="4">
        <v>0.5</v>
      </c>
      <c r="G81" s="6">
        <v>2000</v>
      </c>
      <c r="H81" s="4">
        <v>-31</v>
      </c>
      <c r="I81" s="4">
        <v>-171</v>
      </c>
      <c r="J81" s="4">
        <v>-331</v>
      </c>
    </row>
    <row r="82" spans="2:10">
      <c r="B82" s="4">
        <v>1528</v>
      </c>
      <c r="C82" s="4" t="s">
        <v>89</v>
      </c>
      <c r="D82" s="5">
        <v>0.20480000000000001</v>
      </c>
      <c r="E82" s="4">
        <v>0.82057999999999998</v>
      </c>
      <c r="F82" s="4">
        <v>0.23444999999999999</v>
      </c>
      <c r="G82" s="6">
        <v>1055</v>
      </c>
      <c r="H82" s="4">
        <v>163</v>
      </c>
      <c r="I82" s="4">
        <v>89</v>
      </c>
      <c r="J82" s="4">
        <v>5</v>
      </c>
    </row>
    <row r="83" spans="2:10">
      <c r="B83" s="4">
        <v>1530</v>
      </c>
      <c r="C83" s="4" t="s">
        <v>90</v>
      </c>
      <c r="D83" s="5">
        <v>0.28670000000000001</v>
      </c>
      <c r="E83" s="4">
        <v>1</v>
      </c>
      <c r="F83" s="4">
        <v>0.5</v>
      </c>
      <c r="G83" s="6">
        <v>1500</v>
      </c>
      <c r="H83" s="4">
        <v>355</v>
      </c>
      <c r="I83" s="4">
        <v>250</v>
      </c>
      <c r="J83" s="4">
        <v>130</v>
      </c>
    </row>
    <row r="84" spans="2:10">
      <c r="B84" s="4">
        <v>1531</v>
      </c>
      <c r="C84" s="4" t="s">
        <v>91</v>
      </c>
      <c r="D84" s="5">
        <v>0.1137</v>
      </c>
      <c r="E84" s="4">
        <v>1.8</v>
      </c>
      <c r="F84" s="4">
        <v>0</v>
      </c>
      <c r="G84" s="6">
        <v>1800</v>
      </c>
      <c r="H84" s="4">
        <v>115</v>
      </c>
      <c r="I84" s="4">
        <v>-11</v>
      </c>
      <c r="J84" s="4">
        <v>-155</v>
      </c>
    </row>
    <row r="85" spans="2:10">
      <c r="B85" s="4">
        <v>1532</v>
      </c>
      <c r="C85" s="4" t="s">
        <v>92</v>
      </c>
      <c r="D85" s="5">
        <v>8.9399999999999993E-2</v>
      </c>
      <c r="E85" s="4">
        <v>1.2</v>
      </c>
      <c r="F85" s="4">
        <v>0.8</v>
      </c>
      <c r="G85" s="6">
        <v>2000</v>
      </c>
      <c r="H85" s="4">
        <v>79</v>
      </c>
      <c r="I85" s="4">
        <v>-61</v>
      </c>
      <c r="J85" s="4">
        <v>-221</v>
      </c>
    </row>
    <row r="86" spans="2:10">
      <c r="B86" s="4">
        <v>1535</v>
      </c>
      <c r="C86" s="4" t="s">
        <v>93</v>
      </c>
      <c r="D86" s="5">
        <v>0.248</v>
      </c>
      <c r="E86" s="4">
        <v>3.2</v>
      </c>
      <c r="F86" s="4">
        <v>0</v>
      </c>
      <c r="G86" s="6">
        <v>3200</v>
      </c>
      <c r="H86" s="4">
        <v>634</v>
      </c>
      <c r="I86" s="4">
        <v>410</v>
      </c>
      <c r="J86" s="4">
        <v>154</v>
      </c>
    </row>
    <row r="87" spans="2:10">
      <c r="B87" s="4">
        <v>1537</v>
      </c>
      <c r="C87" s="4" t="s">
        <v>94</v>
      </c>
      <c r="D87" s="5">
        <v>2.23E-2</v>
      </c>
      <c r="E87" s="4">
        <v>4.2</v>
      </c>
      <c r="F87" s="4">
        <v>0</v>
      </c>
      <c r="G87" s="6">
        <v>4200</v>
      </c>
      <c r="H87" s="4">
        <v>-116</v>
      </c>
      <c r="I87" s="4">
        <v>-410</v>
      </c>
      <c r="J87" s="4">
        <v>-746</v>
      </c>
    </row>
    <row r="88" spans="2:10">
      <c r="B88" s="4">
        <v>1540</v>
      </c>
      <c r="C88" s="4" t="s">
        <v>95</v>
      </c>
      <c r="D88" s="5">
        <v>0.29959999999999998</v>
      </c>
      <c r="E88" s="4">
        <v>1.3</v>
      </c>
      <c r="F88" s="4">
        <v>0</v>
      </c>
      <c r="G88" s="6">
        <v>1300</v>
      </c>
      <c r="H88" s="4">
        <v>324</v>
      </c>
      <c r="I88" s="4">
        <v>233</v>
      </c>
      <c r="J88" s="4">
        <v>129</v>
      </c>
    </row>
    <row r="89" spans="2:10">
      <c r="B89" s="4">
        <v>1558</v>
      </c>
      <c r="C89" s="4" t="s">
        <v>96</v>
      </c>
      <c r="D89" s="5">
        <v>0.20100000000000001</v>
      </c>
      <c r="E89" s="4">
        <v>7.7</v>
      </c>
      <c r="F89" s="4">
        <v>0.3</v>
      </c>
      <c r="G89" s="6">
        <v>8000</v>
      </c>
      <c r="H89" s="4">
        <v>1208</v>
      </c>
      <c r="I89" s="4">
        <v>648</v>
      </c>
      <c r="J89" s="4">
        <v>8</v>
      </c>
    </row>
    <row r="90" spans="2:10">
      <c r="B90" s="4">
        <v>1560</v>
      </c>
      <c r="C90" s="4" t="s">
        <v>97</v>
      </c>
      <c r="D90" s="5">
        <v>0.13469999999999999</v>
      </c>
      <c r="E90" s="4">
        <v>1.5</v>
      </c>
      <c r="F90" s="4">
        <v>0</v>
      </c>
      <c r="G90" s="6">
        <v>1500</v>
      </c>
      <c r="H90" s="4">
        <v>127</v>
      </c>
      <c r="I90" s="4">
        <v>22</v>
      </c>
      <c r="J90" s="4">
        <v>-98</v>
      </c>
    </row>
    <row r="91" spans="2:10">
      <c r="B91" s="4">
        <v>1565</v>
      </c>
      <c r="C91" s="4" t="s">
        <v>98</v>
      </c>
      <c r="D91" s="5">
        <v>0.2361</v>
      </c>
      <c r="E91" s="4">
        <v>14.5</v>
      </c>
      <c r="F91" s="4">
        <v>0</v>
      </c>
      <c r="G91" s="6">
        <v>14500</v>
      </c>
      <c r="H91" s="4">
        <v>2698</v>
      </c>
      <c r="I91" s="4">
        <v>1683</v>
      </c>
      <c r="J91" s="4">
        <v>523</v>
      </c>
    </row>
    <row r="92" spans="2:10">
      <c r="B92" s="4">
        <v>1566</v>
      </c>
      <c r="C92" s="4" t="s">
        <v>99</v>
      </c>
      <c r="D92" s="5">
        <v>0.39340000000000003</v>
      </c>
      <c r="E92" s="4">
        <v>0.5</v>
      </c>
      <c r="F92" s="4">
        <v>0</v>
      </c>
      <c r="G92" s="4">
        <v>500</v>
      </c>
      <c r="H92" s="4">
        <v>172</v>
      </c>
      <c r="I92" s="4">
        <v>137</v>
      </c>
      <c r="J92" s="4">
        <v>97</v>
      </c>
    </row>
    <row r="93" spans="2:10">
      <c r="B93" s="4">
        <v>1569</v>
      </c>
      <c r="C93" s="4" t="s">
        <v>100</v>
      </c>
      <c r="D93" s="5">
        <v>4.9299999999999997E-2</v>
      </c>
      <c r="E93" s="4">
        <v>0.8</v>
      </c>
      <c r="F93" s="4">
        <v>0.1</v>
      </c>
      <c r="G93" s="4">
        <v>900</v>
      </c>
      <c r="H93" s="4">
        <v>-1</v>
      </c>
      <c r="I93" s="4">
        <v>-64</v>
      </c>
      <c r="J93" s="4">
        <v>-136</v>
      </c>
    </row>
    <row r="94" spans="2:10">
      <c r="B94" s="4">
        <v>1580</v>
      </c>
      <c r="C94" s="4" t="s">
        <v>101</v>
      </c>
      <c r="D94" s="5">
        <v>8.6699999999999999E-2</v>
      </c>
      <c r="E94" s="4">
        <v>7</v>
      </c>
      <c r="F94" s="4">
        <v>0.5</v>
      </c>
      <c r="G94" s="6">
        <v>7500</v>
      </c>
      <c r="H94" s="4">
        <v>275</v>
      </c>
      <c r="I94" s="4">
        <v>-250</v>
      </c>
      <c r="J94" s="4">
        <v>-850</v>
      </c>
    </row>
    <row r="95" spans="2:10">
      <c r="B95" s="4">
        <v>1582</v>
      </c>
      <c r="C95" s="4" t="s">
        <v>102</v>
      </c>
      <c r="D95" s="5">
        <v>2.8500000000000001E-2</v>
      </c>
      <c r="E95" s="4">
        <v>3.5</v>
      </c>
      <c r="F95" s="4">
        <v>0</v>
      </c>
      <c r="G95" s="6">
        <v>3500</v>
      </c>
      <c r="H95" s="4">
        <v>-75</v>
      </c>
      <c r="I95" s="4">
        <v>-320</v>
      </c>
      <c r="J95" s="4">
        <v>-600</v>
      </c>
    </row>
    <row r="96" spans="2:10">
      <c r="B96" s="4">
        <v>1583</v>
      </c>
      <c r="C96" s="4" t="s">
        <v>103</v>
      </c>
      <c r="D96" s="5">
        <v>0.20480000000000001</v>
      </c>
      <c r="E96" s="4">
        <v>1</v>
      </c>
      <c r="F96" s="4">
        <v>0.5</v>
      </c>
      <c r="G96" s="6">
        <v>1500</v>
      </c>
      <c r="H96" s="4">
        <v>232</v>
      </c>
      <c r="I96" s="4">
        <v>127</v>
      </c>
      <c r="J96" s="4">
        <v>7</v>
      </c>
    </row>
    <row r="97" spans="2:10">
      <c r="B97" s="4">
        <v>1584</v>
      </c>
      <c r="C97" s="4" t="s">
        <v>104</v>
      </c>
      <c r="D97" s="5">
        <v>0.48149999999999998</v>
      </c>
      <c r="E97" s="4">
        <v>0</v>
      </c>
      <c r="F97" s="4">
        <v>0.2</v>
      </c>
      <c r="G97" s="4">
        <v>200</v>
      </c>
      <c r="H97" s="4">
        <v>86</v>
      </c>
      <c r="I97" s="4">
        <v>72</v>
      </c>
      <c r="J97" s="4">
        <v>56</v>
      </c>
    </row>
    <row r="98" spans="2:10">
      <c r="B98" s="4">
        <v>1590</v>
      </c>
      <c r="C98" s="4" t="s">
        <v>105</v>
      </c>
      <c r="D98" s="5">
        <v>0</v>
      </c>
      <c r="E98" s="4">
        <v>4.5</v>
      </c>
      <c r="F98" s="4">
        <v>0</v>
      </c>
      <c r="G98" s="6">
        <v>4500</v>
      </c>
      <c r="H98" s="4">
        <v>-225</v>
      </c>
      <c r="I98" s="4">
        <v>-540</v>
      </c>
      <c r="J98" s="4">
        <v>-900</v>
      </c>
    </row>
    <row r="99" spans="2:10">
      <c r="B99" s="4">
        <v>1604</v>
      </c>
      <c r="C99" s="4" t="s">
        <v>106</v>
      </c>
      <c r="D99" s="5">
        <v>0.20480000000000001</v>
      </c>
      <c r="E99" s="4">
        <v>0.08</v>
      </c>
      <c r="F99" s="4">
        <v>0</v>
      </c>
      <c r="G99" s="4">
        <v>80</v>
      </c>
      <c r="H99" s="4">
        <v>12</v>
      </c>
      <c r="I99" s="4">
        <v>7</v>
      </c>
      <c r="J99" s="4">
        <v>0</v>
      </c>
    </row>
    <row r="100" spans="2:10">
      <c r="B100" s="4">
        <v>1605</v>
      </c>
      <c r="C100" s="4" t="s">
        <v>107</v>
      </c>
      <c r="D100" s="5">
        <v>0</v>
      </c>
      <c r="E100" s="4">
        <v>0.4</v>
      </c>
      <c r="F100" s="4">
        <v>0</v>
      </c>
      <c r="G100" s="4">
        <v>400</v>
      </c>
      <c r="H100" s="4">
        <v>-20</v>
      </c>
      <c r="I100" s="4">
        <v>-48</v>
      </c>
      <c r="J100" s="4">
        <v>-80</v>
      </c>
    </row>
    <row r="101" spans="2:10">
      <c r="B101" s="4">
        <v>1608</v>
      </c>
      <c r="C101" s="4" t="s">
        <v>108</v>
      </c>
      <c r="D101" s="5">
        <v>0.13200000000000001</v>
      </c>
      <c r="E101" s="4">
        <v>0.35</v>
      </c>
      <c r="F101" s="4">
        <v>0</v>
      </c>
      <c r="G101" s="4">
        <v>350</v>
      </c>
      <c r="H101" s="4">
        <v>29</v>
      </c>
      <c r="I101" s="4">
        <v>4</v>
      </c>
      <c r="J101" s="4">
        <v>-24</v>
      </c>
    </row>
    <row r="102" spans="2:10">
      <c r="B102" s="4">
        <v>1609</v>
      </c>
      <c r="C102" s="4" t="s">
        <v>109</v>
      </c>
      <c r="D102" s="5">
        <v>0.2114</v>
      </c>
      <c r="E102" s="4">
        <v>0.35</v>
      </c>
      <c r="F102" s="4">
        <v>0.1</v>
      </c>
      <c r="G102" s="4">
        <v>450</v>
      </c>
      <c r="H102" s="4">
        <v>73</v>
      </c>
      <c r="I102" s="4">
        <v>41</v>
      </c>
      <c r="J102" s="4">
        <v>5</v>
      </c>
    </row>
    <row r="103" spans="2:10">
      <c r="B103" s="4">
        <v>1611</v>
      </c>
      <c r="C103" s="4" t="s">
        <v>110</v>
      </c>
      <c r="D103" s="5">
        <v>0.10879999999999999</v>
      </c>
      <c r="E103" s="4">
        <v>1.3</v>
      </c>
      <c r="F103" s="4">
        <v>0</v>
      </c>
      <c r="G103" s="6">
        <v>1300</v>
      </c>
      <c r="H103" s="4">
        <v>76</v>
      </c>
      <c r="I103" s="4">
        <v>-15</v>
      </c>
      <c r="J103" s="4">
        <v>-119</v>
      </c>
    </row>
    <row r="104" spans="2:10">
      <c r="B104" s="4">
        <v>1612</v>
      </c>
      <c r="C104" s="4" t="s">
        <v>111</v>
      </c>
      <c r="D104" s="5">
        <v>0.23980000000000001</v>
      </c>
      <c r="E104" s="4">
        <v>0.6</v>
      </c>
      <c r="F104" s="4">
        <v>0</v>
      </c>
      <c r="G104" s="4">
        <v>600</v>
      </c>
      <c r="H104" s="4">
        <v>114</v>
      </c>
      <c r="I104" s="4">
        <v>72</v>
      </c>
      <c r="J104" s="4">
        <v>24</v>
      </c>
    </row>
    <row r="105" spans="2:10">
      <c r="B105" s="4">
        <v>1614</v>
      </c>
      <c r="C105" s="4" t="s">
        <v>112</v>
      </c>
      <c r="D105" s="5">
        <v>0.14710000000000001</v>
      </c>
      <c r="E105" s="4">
        <v>0.91746000000000005</v>
      </c>
      <c r="F105" s="4">
        <v>0</v>
      </c>
      <c r="G105" s="4">
        <v>917</v>
      </c>
      <c r="H105" s="4">
        <v>89</v>
      </c>
      <c r="I105" s="4">
        <v>25</v>
      </c>
      <c r="J105" s="4">
        <v>-49</v>
      </c>
    </row>
    <row r="106" spans="2:10">
      <c r="B106" s="4">
        <v>1615</v>
      </c>
      <c r="C106" s="4" t="s">
        <v>113</v>
      </c>
      <c r="D106" s="5">
        <v>0.1862</v>
      </c>
      <c r="E106" s="4">
        <v>1.2</v>
      </c>
      <c r="F106" s="4">
        <v>0.5</v>
      </c>
      <c r="G106" s="6">
        <v>1700</v>
      </c>
      <c r="H106" s="4">
        <v>232</v>
      </c>
      <c r="I106" s="4">
        <v>113</v>
      </c>
      <c r="J106" s="4">
        <v>-23</v>
      </c>
    </row>
    <row r="107" spans="2:10">
      <c r="B107" s="4">
        <v>1617</v>
      </c>
      <c r="C107" s="4" t="s">
        <v>114</v>
      </c>
      <c r="D107" s="5">
        <v>0.14799999999999999</v>
      </c>
      <c r="E107" s="4">
        <v>0.4</v>
      </c>
      <c r="F107" s="4">
        <v>0</v>
      </c>
      <c r="G107" s="4">
        <v>400</v>
      </c>
      <c r="H107" s="4">
        <v>39</v>
      </c>
      <c r="I107" s="4">
        <v>11</v>
      </c>
      <c r="J107" s="4">
        <v>-21</v>
      </c>
    </row>
    <row r="108" spans="2:10">
      <c r="B108" s="4">
        <v>1618</v>
      </c>
      <c r="C108" s="4" t="s">
        <v>115</v>
      </c>
      <c r="D108" s="5">
        <v>0.1585</v>
      </c>
      <c r="E108" s="4">
        <v>0.3</v>
      </c>
      <c r="F108" s="4">
        <v>0.3</v>
      </c>
      <c r="G108" s="4">
        <v>600</v>
      </c>
      <c r="H108" s="4">
        <v>65</v>
      </c>
      <c r="I108" s="4">
        <v>23</v>
      </c>
      <c r="J108" s="4">
        <v>-25</v>
      </c>
    </row>
    <row r="109" spans="2:10">
      <c r="B109" s="4">
        <v>1701</v>
      </c>
      <c r="C109" s="4" t="s">
        <v>116</v>
      </c>
      <c r="D109" s="5">
        <v>0.14480000000000001</v>
      </c>
      <c r="E109" s="4">
        <v>0.7</v>
      </c>
      <c r="F109" s="4">
        <v>0</v>
      </c>
      <c r="G109" s="4">
        <v>700</v>
      </c>
      <c r="H109" s="4">
        <v>66</v>
      </c>
      <c r="I109" s="4">
        <v>17</v>
      </c>
      <c r="J109" s="4">
        <v>-39</v>
      </c>
    </row>
    <row r="110" spans="2:10">
      <c r="B110" s="4">
        <v>1702</v>
      </c>
      <c r="C110" s="4" t="s">
        <v>117</v>
      </c>
      <c r="D110" s="5">
        <v>0.20480000000000001</v>
      </c>
      <c r="E110" s="4">
        <v>1.4</v>
      </c>
      <c r="F110" s="4">
        <v>0</v>
      </c>
      <c r="G110" s="6">
        <v>1400</v>
      </c>
      <c r="H110" s="4">
        <v>217</v>
      </c>
      <c r="I110" s="4">
        <v>119</v>
      </c>
      <c r="J110" s="4">
        <v>7</v>
      </c>
    </row>
    <row r="111" spans="2:10">
      <c r="B111" s="4">
        <v>1704</v>
      </c>
      <c r="C111" s="4" t="s">
        <v>118</v>
      </c>
      <c r="D111" s="5">
        <v>0.17879999999999999</v>
      </c>
      <c r="E111" s="4">
        <v>3.35</v>
      </c>
      <c r="F111" s="4">
        <v>0</v>
      </c>
      <c r="G111" s="6">
        <v>3350</v>
      </c>
      <c r="H111" s="4">
        <v>431</v>
      </c>
      <c r="I111" s="4">
        <v>197</v>
      </c>
      <c r="J111" s="4">
        <v>-71</v>
      </c>
    </row>
    <row r="112" spans="2:10">
      <c r="B112" s="4">
        <v>1707</v>
      </c>
      <c r="C112" s="4" t="s">
        <v>119</v>
      </c>
      <c r="D112" s="5">
        <v>0.15310000000000001</v>
      </c>
      <c r="E112" s="4">
        <v>2.5</v>
      </c>
      <c r="F112" s="4">
        <v>0</v>
      </c>
      <c r="G112" s="6">
        <v>2500</v>
      </c>
      <c r="H112" s="4">
        <v>258</v>
      </c>
      <c r="I112" s="4">
        <v>83</v>
      </c>
      <c r="J112" s="4">
        <v>-117</v>
      </c>
    </row>
    <row r="113" spans="2:10">
      <c r="B113" s="4">
        <v>1708</v>
      </c>
      <c r="C113" s="4" t="s">
        <v>120</v>
      </c>
      <c r="D113" s="5">
        <v>0.17829999999999999</v>
      </c>
      <c r="E113" s="4">
        <v>1.5</v>
      </c>
      <c r="F113" s="4">
        <v>0</v>
      </c>
      <c r="G113" s="6">
        <v>1500</v>
      </c>
      <c r="H113" s="4">
        <v>192</v>
      </c>
      <c r="I113" s="4">
        <v>87</v>
      </c>
      <c r="J113" s="4">
        <v>-33</v>
      </c>
    </row>
    <row r="114" spans="2:10">
      <c r="B114" s="4">
        <v>1709</v>
      </c>
      <c r="C114" s="4" t="s">
        <v>121</v>
      </c>
      <c r="D114" s="5">
        <v>0.1764</v>
      </c>
      <c r="E114" s="4">
        <v>0.5</v>
      </c>
      <c r="F114" s="4">
        <v>0.7</v>
      </c>
      <c r="G114" s="6">
        <v>1200</v>
      </c>
      <c r="H114" s="4">
        <v>152</v>
      </c>
      <c r="I114" s="4">
        <v>68</v>
      </c>
      <c r="J114" s="4">
        <v>-28</v>
      </c>
    </row>
    <row r="115" spans="2:10">
      <c r="B115" s="4">
        <v>1710</v>
      </c>
      <c r="C115" s="4" t="s">
        <v>122</v>
      </c>
      <c r="D115" s="5">
        <v>0.16489999999999999</v>
      </c>
      <c r="E115" s="4">
        <v>2.4</v>
      </c>
      <c r="F115" s="4">
        <v>0</v>
      </c>
      <c r="G115" s="6">
        <v>2400</v>
      </c>
      <c r="H115" s="4">
        <v>276</v>
      </c>
      <c r="I115" s="4">
        <v>108</v>
      </c>
      <c r="J115" s="4">
        <v>-84</v>
      </c>
    </row>
    <row r="116" spans="2:10">
      <c r="B116" s="4">
        <v>1711</v>
      </c>
      <c r="C116" s="4" t="s">
        <v>123</v>
      </c>
      <c r="D116" s="5">
        <v>8.5000000000000006E-2</v>
      </c>
      <c r="E116" s="4">
        <v>0.6</v>
      </c>
      <c r="F116" s="4">
        <v>1</v>
      </c>
      <c r="G116" s="6">
        <v>1600</v>
      </c>
      <c r="H116" s="4">
        <v>56</v>
      </c>
      <c r="I116" s="4">
        <v>-56</v>
      </c>
      <c r="J116" s="4">
        <v>-184</v>
      </c>
    </row>
    <row r="117" spans="2:10">
      <c r="B117" s="4">
        <v>1712</v>
      </c>
      <c r="C117" s="4" t="s">
        <v>124</v>
      </c>
      <c r="D117" s="5">
        <v>0.27</v>
      </c>
      <c r="E117" s="4">
        <v>0.8</v>
      </c>
      <c r="F117" s="4">
        <v>0</v>
      </c>
      <c r="G117" s="4">
        <v>800</v>
      </c>
      <c r="H117" s="4">
        <v>176</v>
      </c>
      <c r="I117" s="4">
        <v>120</v>
      </c>
      <c r="J117" s="4">
        <v>56</v>
      </c>
    </row>
    <row r="118" spans="2:10">
      <c r="B118" s="4">
        <v>1713</v>
      </c>
      <c r="C118" s="4" t="s">
        <v>125</v>
      </c>
      <c r="D118" s="5">
        <v>0.17910000000000001</v>
      </c>
      <c r="E118" s="4">
        <v>0.36</v>
      </c>
      <c r="F118" s="4">
        <v>0</v>
      </c>
      <c r="G118" s="4">
        <v>360</v>
      </c>
      <c r="H118" s="4">
        <v>46</v>
      </c>
      <c r="I118" s="4">
        <v>21</v>
      </c>
      <c r="J118" s="4">
        <v>-8</v>
      </c>
    </row>
    <row r="119" spans="2:10">
      <c r="B119" s="4">
        <v>1714</v>
      </c>
      <c r="C119" s="4" t="s">
        <v>126</v>
      </c>
      <c r="D119" s="5">
        <v>6.6000000000000003E-2</v>
      </c>
      <c r="E119" s="4">
        <v>0</v>
      </c>
      <c r="F119" s="4">
        <v>1.2</v>
      </c>
      <c r="G119" s="6">
        <v>1200</v>
      </c>
      <c r="H119" s="4">
        <v>19</v>
      </c>
      <c r="I119" s="4">
        <v>-65</v>
      </c>
      <c r="J119" s="4">
        <v>-161</v>
      </c>
    </row>
    <row r="120" spans="2:10">
      <c r="B120" s="4">
        <v>1715</v>
      </c>
      <c r="C120" s="4" t="s">
        <v>127</v>
      </c>
      <c r="D120" s="5">
        <v>1.6E-2</v>
      </c>
      <c r="E120" s="4">
        <v>1.25</v>
      </c>
      <c r="F120" s="4">
        <v>0.25</v>
      </c>
      <c r="G120" s="6">
        <v>1500</v>
      </c>
      <c r="H120" s="4">
        <v>-51</v>
      </c>
      <c r="I120" s="4">
        <v>-156</v>
      </c>
      <c r="J120" s="4">
        <v>-276</v>
      </c>
    </row>
    <row r="121" spans="2:10">
      <c r="B121" s="4">
        <v>1717</v>
      </c>
      <c r="C121" s="4" t="s">
        <v>128</v>
      </c>
      <c r="D121" s="5">
        <v>5.3199999999999997E-2</v>
      </c>
      <c r="E121" s="4">
        <v>1.5</v>
      </c>
      <c r="F121" s="4">
        <v>0.5</v>
      </c>
      <c r="G121" s="6">
        <v>2000</v>
      </c>
      <c r="H121" s="4">
        <v>6</v>
      </c>
      <c r="I121" s="4">
        <v>-134</v>
      </c>
      <c r="J121" s="4">
        <v>-294</v>
      </c>
    </row>
    <row r="122" spans="2:10">
      <c r="B122" s="4">
        <v>1720</v>
      </c>
      <c r="C122" s="4" t="s">
        <v>129</v>
      </c>
      <c r="D122" s="5">
        <v>0.1363</v>
      </c>
      <c r="E122" s="4">
        <v>0.5</v>
      </c>
      <c r="F122" s="4">
        <v>0.7</v>
      </c>
      <c r="G122" s="6">
        <v>1200</v>
      </c>
      <c r="H122" s="4">
        <v>104</v>
      </c>
      <c r="I122" s="4">
        <v>20</v>
      </c>
      <c r="J122" s="4">
        <v>-76</v>
      </c>
    </row>
    <row r="123" spans="2:10">
      <c r="B123" s="4">
        <v>1722</v>
      </c>
      <c r="C123" s="4" t="s">
        <v>130</v>
      </c>
      <c r="D123" s="5">
        <v>0.20480000000000001</v>
      </c>
      <c r="E123" s="4">
        <v>2.2000000000000002</v>
      </c>
      <c r="F123" s="4">
        <v>0</v>
      </c>
      <c r="G123" s="6">
        <v>2200</v>
      </c>
      <c r="H123" s="4">
        <v>341</v>
      </c>
      <c r="I123" s="4">
        <v>187</v>
      </c>
      <c r="J123" s="4">
        <v>11</v>
      </c>
    </row>
    <row r="124" spans="2:10">
      <c r="B124" s="4">
        <v>1723</v>
      </c>
      <c r="C124" s="4" t="s">
        <v>131</v>
      </c>
      <c r="D124" s="5">
        <v>0.183</v>
      </c>
      <c r="E124" s="4">
        <v>7.2</v>
      </c>
      <c r="F124" s="4">
        <v>0</v>
      </c>
      <c r="G124" s="6">
        <v>7200</v>
      </c>
      <c r="H124" s="4">
        <v>958</v>
      </c>
      <c r="I124" s="4">
        <v>454</v>
      </c>
      <c r="J124" s="4">
        <v>-122</v>
      </c>
    </row>
    <row r="125" spans="2:10">
      <c r="B125" s="4">
        <v>1724</v>
      </c>
      <c r="C125" s="4" t="s">
        <v>132</v>
      </c>
      <c r="D125" s="5">
        <v>0.20780000000000001</v>
      </c>
      <c r="E125" s="4">
        <v>0.25</v>
      </c>
      <c r="F125" s="4">
        <v>0</v>
      </c>
      <c r="G125" s="4">
        <v>250</v>
      </c>
      <c r="H125" s="4">
        <v>39</v>
      </c>
      <c r="I125" s="4">
        <v>22</v>
      </c>
      <c r="J125" s="4">
        <v>2</v>
      </c>
    </row>
    <row r="126" spans="2:10">
      <c r="B126" s="4">
        <v>1725</v>
      </c>
      <c r="C126" s="4" t="s">
        <v>133</v>
      </c>
      <c r="D126" s="5">
        <v>0.161</v>
      </c>
      <c r="E126" s="4">
        <v>0.15</v>
      </c>
      <c r="F126" s="4">
        <v>1.35</v>
      </c>
      <c r="G126" s="6">
        <v>1500</v>
      </c>
      <c r="H126" s="4">
        <v>167</v>
      </c>
      <c r="I126" s="4">
        <v>62</v>
      </c>
      <c r="J126" s="4">
        <v>-59</v>
      </c>
    </row>
    <row r="127" spans="2:10">
      <c r="B127" s="4">
        <v>1726</v>
      </c>
      <c r="C127" s="4" t="s">
        <v>134</v>
      </c>
      <c r="D127" s="5">
        <v>0.23080000000000001</v>
      </c>
      <c r="E127" s="4">
        <v>2.5</v>
      </c>
      <c r="F127" s="4">
        <v>0</v>
      </c>
      <c r="G127" s="6">
        <v>2500</v>
      </c>
      <c r="H127" s="4">
        <v>452</v>
      </c>
      <c r="I127" s="4">
        <v>277</v>
      </c>
      <c r="J127" s="4">
        <v>77</v>
      </c>
    </row>
    <row r="128" spans="2:10">
      <c r="B128" s="4">
        <v>1727</v>
      </c>
      <c r="C128" s="4" t="s">
        <v>135</v>
      </c>
      <c r="D128" s="5">
        <v>0.2268</v>
      </c>
      <c r="E128" s="4">
        <v>0.44869999999999999</v>
      </c>
      <c r="F128" s="4">
        <v>1.0256000000000001</v>
      </c>
      <c r="G128" s="6">
        <v>1474</v>
      </c>
      <c r="H128" s="4">
        <v>261</v>
      </c>
      <c r="I128" s="4">
        <v>157</v>
      </c>
      <c r="J128" s="4">
        <v>40</v>
      </c>
    </row>
    <row r="129" spans="2:10">
      <c r="B129" s="4">
        <v>1730</v>
      </c>
      <c r="C129" s="4" t="s">
        <v>136</v>
      </c>
      <c r="D129" s="5">
        <v>0.21560000000000001</v>
      </c>
      <c r="E129" s="4">
        <v>1</v>
      </c>
      <c r="F129" s="4">
        <v>0</v>
      </c>
      <c r="G129" s="6">
        <v>1000</v>
      </c>
      <c r="H129" s="4">
        <v>166</v>
      </c>
      <c r="I129" s="4">
        <v>96</v>
      </c>
      <c r="J129" s="4">
        <v>16</v>
      </c>
    </row>
    <row r="130" spans="2:10">
      <c r="B130" s="4">
        <v>1731</v>
      </c>
      <c r="C130" s="4" t="s">
        <v>137</v>
      </c>
      <c r="D130" s="5">
        <v>0.23899999999999999</v>
      </c>
      <c r="E130" s="4">
        <v>0.45</v>
      </c>
      <c r="F130" s="4">
        <v>0</v>
      </c>
      <c r="G130" s="4">
        <v>450</v>
      </c>
      <c r="H130" s="4">
        <v>85</v>
      </c>
      <c r="I130" s="4">
        <v>54</v>
      </c>
      <c r="J130" s="4">
        <v>18</v>
      </c>
    </row>
    <row r="131" spans="2:10">
      <c r="B131" s="4">
        <v>1732</v>
      </c>
      <c r="C131" s="4" t="s">
        <v>138</v>
      </c>
      <c r="D131" s="5">
        <v>0.25569999999999998</v>
      </c>
      <c r="E131" s="4">
        <v>0.5</v>
      </c>
      <c r="F131" s="4">
        <v>0</v>
      </c>
      <c r="G131" s="4">
        <v>500</v>
      </c>
      <c r="H131" s="4">
        <v>103</v>
      </c>
      <c r="I131" s="4">
        <v>68</v>
      </c>
      <c r="J131" s="4">
        <v>28</v>
      </c>
    </row>
    <row r="132" spans="2:10">
      <c r="B132" s="4">
        <v>1733</v>
      </c>
      <c r="C132" s="4" t="s">
        <v>139</v>
      </c>
      <c r="D132" s="5">
        <v>0.1623</v>
      </c>
      <c r="E132" s="4">
        <v>4.2</v>
      </c>
      <c r="F132" s="4">
        <v>0</v>
      </c>
      <c r="G132" s="6">
        <v>4200</v>
      </c>
      <c r="H132" s="4">
        <v>472</v>
      </c>
      <c r="I132" s="4">
        <v>178</v>
      </c>
      <c r="J132" s="4">
        <v>-158</v>
      </c>
    </row>
    <row r="133" spans="2:10">
      <c r="B133" s="4">
        <v>1734</v>
      </c>
      <c r="C133" s="4" t="s">
        <v>140</v>
      </c>
      <c r="D133" s="5">
        <v>1.9800000000000002E-2</v>
      </c>
      <c r="E133" s="4">
        <v>0.65</v>
      </c>
      <c r="F133" s="4">
        <v>0</v>
      </c>
      <c r="G133" s="4">
        <v>650</v>
      </c>
      <c r="H133" s="4">
        <v>-20</v>
      </c>
      <c r="I133" s="4">
        <v>-65</v>
      </c>
      <c r="J133" s="4">
        <v>-117</v>
      </c>
    </row>
    <row r="134" spans="2:10">
      <c r="B134" s="4">
        <v>1735</v>
      </c>
      <c r="C134" s="4" t="s">
        <v>141</v>
      </c>
      <c r="D134" s="5">
        <v>0.28339999999999999</v>
      </c>
      <c r="E134" s="4">
        <v>0.5</v>
      </c>
      <c r="F134" s="4">
        <v>0</v>
      </c>
      <c r="G134" s="4">
        <v>500</v>
      </c>
      <c r="H134" s="4">
        <v>117</v>
      </c>
      <c r="I134" s="4">
        <v>82</v>
      </c>
      <c r="J134" s="4">
        <v>42</v>
      </c>
    </row>
    <row r="135" spans="2:10">
      <c r="B135" s="4">
        <v>1736</v>
      </c>
      <c r="C135" s="4" t="s">
        <v>142</v>
      </c>
      <c r="D135" s="5">
        <v>0.21690000000000001</v>
      </c>
      <c r="E135" s="4">
        <v>0.5</v>
      </c>
      <c r="F135" s="4">
        <v>0.25</v>
      </c>
      <c r="G135" s="4">
        <v>750</v>
      </c>
      <c r="H135" s="4">
        <v>125</v>
      </c>
      <c r="I135" s="4">
        <v>73</v>
      </c>
      <c r="J135" s="4">
        <v>13</v>
      </c>
    </row>
    <row r="136" spans="2:10">
      <c r="B136" s="4">
        <v>1737</v>
      </c>
      <c r="C136" s="4" t="s">
        <v>143</v>
      </c>
      <c r="D136" s="5">
        <v>0.1052</v>
      </c>
      <c r="E136" s="4">
        <v>0.6</v>
      </c>
      <c r="F136" s="4">
        <v>0</v>
      </c>
      <c r="G136" s="4">
        <v>600</v>
      </c>
      <c r="H136" s="4">
        <v>33</v>
      </c>
      <c r="I136" s="4">
        <v>-9</v>
      </c>
      <c r="J136" s="4">
        <v>-57</v>
      </c>
    </row>
    <row r="137" spans="2:10">
      <c r="B137" s="4">
        <v>1742</v>
      </c>
      <c r="C137" s="4" t="s">
        <v>144</v>
      </c>
      <c r="D137" s="5">
        <v>0.14749999999999999</v>
      </c>
      <c r="E137" s="4">
        <v>0.2</v>
      </c>
      <c r="F137" s="4">
        <v>2.8</v>
      </c>
      <c r="G137" s="6">
        <v>3000</v>
      </c>
      <c r="H137" s="4">
        <v>293</v>
      </c>
      <c r="I137" s="4">
        <v>83</v>
      </c>
      <c r="J137" s="4">
        <v>-158</v>
      </c>
    </row>
    <row r="138" spans="2:10">
      <c r="B138" s="4">
        <v>1762</v>
      </c>
      <c r="C138" s="4" t="s">
        <v>145</v>
      </c>
      <c r="D138" s="5">
        <v>0.11219999999999999</v>
      </c>
      <c r="E138" s="4">
        <v>1.5</v>
      </c>
      <c r="F138" s="4">
        <v>0</v>
      </c>
      <c r="G138" s="6">
        <v>1500</v>
      </c>
      <c r="H138" s="4">
        <v>93</v>
      </c>
      <c r="I138" s="4">
        <v>-12</v>
      </c>
      <c r="J138" s="4">
        <v>-132</v>
      </c>
    </row>
    <row r="139" spans="2:10">
      <c r="B139" s="4">
        <v>1773</v>
      </c>
      <c r="C139" s="4" t="s">
        <v>146</v>
      </c>
      <c r="D139" s="5">
        <v>0.28439999999999999</v>
      </c>
      <c r="E139" s="4">
        <v>4</v>
      </c>
      <c r="F139" s="4">
        <v>0</v>
      </c>
      <c r="G139" s="6">
        <v>4000</v>
      </c>
      <c r="H139" s="4">
        <v>938</v>
      </c>
      <c r="I139" s="4">
        <v>658</v>
      </c>
      <c r="J139" s="4">
        <v>338</v>
      </c>
    </row>
    <row r="140" spans="2:10">
      <c r="B140" s="4">
        <v>1777</v>
      </c>
      <c r="C140" s="4" t="s">
        <v>147</v>
      </c>
      <c r="D140" s="5">
        <v>3.5499999999999997E-2</v>
      </c>
      <c r="E140" s="4">
        <v>2.2999999999999998</v>
      </c>
      <c r="F140" s="4">
        <v>0</v>
      </c>
      <c r="G140" s="6">
        <v>2300</v>
      </c>
      <c r="H140" s="4">
        <v>-33</v>
      </c>
      <c r="I140" s="4">
        <v>-194</v>
      </c>
      <c r="J140" s="4">
        <v>-378</v>
      </c>
    </row>
    <row r="141" spans="2:10">
      <c r="B141" s="4">
        <v>1785</v>
      </c>
      <c r="C141" s="4" t="s">
        <v>148</v>
      </c>
      <c r="D141" s="5">
        <v>0.3201</v>
      </c>
      <c r="E141" s="4">
        <v>2</v>
      </c>
      <c r="F141" s="4">
        <v>2.5</v>
      </c>
      <c r="G141" s="6">
        <v>4500</v>
      </c>
      <c r="H141" s="4">
        <v>1215</v>
      </c>
      <c r="I141" s="4">
        <v>900</v>
      </c>
      <c r="J141" s="4">
        <v>540</v>
      </c>
    </row>
    <row r="142" spans="2:10">
      <c r="B142" s="4">
        <v>1787</v>
      </c>
      <c r="C142" s="4" t="s">
        <v>149</v>
      </c>
      <c r="D142" s="5">
        <v>6.8400000000000002E-2</v>
      </c>
      <c r="E142" s="4">
        <v>0.68808000000000002</v>
      </c>
      <c r="F142" s="4">
        <v>0</v>
      </c>
      <c r="G142" s="4">
        <v>688</v>
      </c>
      <c r="H142" s="4">
        <v>13</v>
      </c>
      <c r="I142" s="4">
        <v>-36</v>
      </c>
      <c r="J142" s="4">
        <v>-91</v>
      </c>
    </row>
    <row r="143" spans="2:10">
      <c r="B143" s="4">
        <v>1788</v>
      </c>
      <c r="C143" s="4" t="s">
        <v>150</v>
      </c>
      <c r="D143" s="5">
        <v>0.28710000000000002</v>
      </c>
      <c r="E143" s="4">
        <v>3.5</v>
      </c>
      <c r="F143" s="4">
        <v>0</v>
      </c>
      <c r="G143" s="6">
        <v>3500</v>
      </c>
      <c r="H143" s="4">
        <v>830</v>
      </c>
      <c r="I143" s="4">
        <v>585</v>
      </c>
      <c r="J143" s="4">
        <v>305</v>
      </c>
    </row>
    <row r="144" spans="2:10">
      <c r="B144" s="4">
        <v>1795</v>
      </c>
      <c r="C144" s="4" t="s">
        <v>151</v>
      </c>
      <c r="D144" s="5">
        <v>0.20499999999999999</v>
      </c>
      <c r="E144" s="4">
        <v>0.3</v>
      </c>
      <c r="F144" s="4">
        <v>0</v>
      </c>
      <c r="G144" s="4">
        <v>300</v>
      </c>
      <c r="H144" s="4">
        <v>47</v>
      </c>
      <c r="I144" s="4">
        <v>26</v>
      </c>
      <c r="J144" s="4">
        <v>2</v>
      </c>
    </row>
    <row r="145" spans="2:10">
      <c r="B145" s="4">
        <v>1802</v>
      </c>
      <c r="C145" s="4" t="s">
        <v>152</v>
      </c>
      <c r="D145" s="5">
        <v>0.12909999999999999</v>
      </c>
      <c r="E145" s="4">
        <v>0.6</v>
      </c>
      <c r="F145" s="4">
        <v>1</v>
      </c>
      <c r="G145" s="6">
        <v>1600</v>
      </c>
      <c r="H145" s="4">
        <v>127</v>
      </c>
      <c r="I145" s="4">
        <v>15</v>
      </c>
      <c r="J145" s="4">
        <v>-113</v>
      </c>
    </row>
    <row r="146" spans="2:10">
      <c r="B146" s="4">
        <v>1806</v>
      </c>
      <c r="C146" s="4" t="s">
        <v>153</v>
      </c>
      <c r="D146" s="5">
        <v>8.6599999999999996E-2</v>
      </c>
      <c r="E146" s="4">
        <v>1.2</v>
      </c>
      <c r="F146" s="4">
        <v>0</v>
      </c>
      <c r="G146" s="6">
        <v>1200</v>
      </c>
      <c r="H146" s="4">
        <v>44</v>
      </c>
      <c r="I146" s="4">
        <v>-40</v>
      </c>
      <c r="J146" s="4">
        <v>-136</v>
      </c>
    </row>
    <row r="147" spans="2:10">
      <c r="B147" s="4">
        <v>1808</v>
      </c>
      <c r="C147" s="4" t="s">
        <v>154</v>
      </c>
      <c r="D147" s="5">
        <v>8.2299999999999998E-2</v>
      </c>
      <c r="E147" s="4">
        <v>1.5</v>
      </c>
      <c r="F147" s="4">
        <v>0</v>
      </c>
      <c r="G147" s="6">
        <v>1500</v>
      </c>
      <c r="H147" s="4">
        <v>48</v>
      </c>
      <c r="I147" s="4">
        <v>-57</v>
      </c>
      <c r="J147" s="4">
        <v>-177</v>
      </c>
    </row>
    <row r="148" spans="2:10">
      <c r="B148" s="4">
        <v>1809</v>
      </c>
      <c r="C148" s="4" t="s">
        <v>155</v>
      </c>
      <c r="D148" s="5">
        <v>0.15340000000000001</v>
      </c>
      <c r="E148" s="4">
        <v>0.5</v>
      </c>
      <c r="F148" s="4">
        <v>0</v>
      </c>
      <c r="G148" s="4">
        <v>500</v>
      </c>
      <c r="H148" s="4">
        <v>52</v>
      </c>
      <c r="I148" s="4">
        <v>17</v>
      </c>
      <c r="J148" s="4">
        <v>-23</v>
      </c>
    </row>
    <row r="149" spans="2:10">
      <c r="B149" s="4">
        <v>1815</v>
      </c>
      <c r="C149" s="4" t="s">
        <v>156</v>
      </c>
      <c r="D149" s="5">
        <v>4.6600000000000003E-2</v>
      </c>
      <c r="E149" s="4">
        <v>0.8</v>
      </c>
      <c r="F149" s="4">
        <v>0.2</v>
      </c>
      <c r="G149" s="6">
        <v>1000</v>
      </c>
      <c r="H149" s="4">
        <v>-3</v>
      </c>
      <c r="I149" s="4">
        <v>-73</v>
      </c>
      <c r="J149" s="4">
        <v>-153</v>
      </c>
    </row>
    <row r="150" spans="2:10">
      <c r="B150" s="4">
        <v>1902</v>
      </c>
      <c r="C150" s="4" t="s">
        <v>157</v>
      </c>
      <c r="D150" s="5">
        <v>2.4199999999999999E-2</v>
      </c>
      <c r="E150" s="4">
        <v>0.6</v>
      </c>
      <c r="F150" s="4">
        <v>0.6</v>
      </c>
      <c r="G150" s="6">
        <v>1200</v>
      </c>
      <c r="H150" s="4">
        <v>-31</v>
      </c>
      <c r="I150" s="4">
        <v>-115</v>
      </c>
      <c r="J150" s="4">
        <v>-211</v>
      </c>
    </row>
    <row r="151" spans="2:10">
      <c r="B151" s="4">
        <v>1904</v>
      </c>
      <c r="C151" s="4" t="s">
        <v>158</v>
      </c>
      <c r="D151" s="5">
        <v>8.5199999999999998E-2</v>
      </c>
      <c r="E151" s="4">
        <v>0.6</v>
      </c>
      <c r="F151" s="4">
        <v>0.4</v>
      </c>
      <c r="G151" s="6">
        <v>1000</v>
      </c>
      <c r="H151" s="4">
        <v>35</v>
      </c>
      <c r="I151" s="4">
        <v>-35</v>
      </c>
      <c r="J151" s="4">
        <v>-115</v>
      </c>
    </row>
    <row r="152" spans="2:10">
      <c r="B152" s="4">
        <v>1905</v>
      </c>
      <c r="C152" s="4" t="s">
        <v>159</v>
      </c>
      <c r="D152" s="5">
        <v>3.5000000000000003E-2</v>
      </c>
      <c r="E152" s="4">
        <v>1</v>
      </c>
      <c r="F152" s="4">
        <v>0.3</v>
      </c>
      <c r="G152" s="6">
        <v>1300</v>
      </c>
      <c r="H152" s="4">
        <v>-20</v>
      </c>
      <c r="I152" s="4">
        <v>-111</v>
      </c>
      <c r="J152" s="4">
        <v>-215</v>
      </c>
    </row>
    <row r="153" spans="2:10">
      <c r="B153" s="4">
        <v>1907</v>
      </c>
      <c r="C153" s="4" t="s">
        <v>160</v>
      </c>
      <c r="D153" s="5">
        <v>3.5999999999999997E-2</v>
      </c>
      <c r="E153" s="4">
        <v>0.55000000000000004</v>
      </c>
      <c r="F153" s="4">
        <v>0.15</v>
      </c>
      <c r="G153" s="4">
        <v>700</v>
      </c>
      <c r="H153" s="4">
        <v>-10</v>
      </c>
      <c r="I153" s="4">
        <v>-59</v>
      </c>
      <c r="J153" s="4">
        <v>-115</v>
      </c>
    </row>
    <row r="154" spans="2:10">
      <c r="B154" s="4">
        <v>1909</v>
      </c>
      <c r="C154" s="4" t="s">
        <v>161</v>
      </c>
      <c r="D154" s="5">
        <v>0.13780000000000001</v>
      </c>
      <c r="E154" s="4">
        <v>0.7</v>
      </c>
      <c r="F154" s="4">
        <v>0</v>
      </c>
      <c r="G154" s="4">
        <v>700</v>
      </c>
      <c r="H154" s="4">
        <v>61</v>
      </c>
      <c r="I154" s="4">
        <v>12</v>
      </c>
      <c r="J154" s="4">
        <v>-44</v>
      </c>
    </row>
    <row r="155" spans="2:10">
      <c r="B155" s="4">
        <v>2002</v>
      </c>
      <c r="C155" s="4" t="s">
        <v>162</v>
      </c>
      <c r="D155" s="5">
        <v>0.14649999999999999</v>
      </c>
      <c r="E155" s="4">
        <v>1.99</v>
      </c>
      <c r="F155" s="4">
        <v>0.5</v>
      </c>
      <c r="G155" s="6">
        <v>2490</v>
      </c>
      <c r="H155" s="4">
        <v>240</v>
      </c>
      <c r="I155" s="4">
        <v>66</v>
      </c>
      <c r="J155" s="4">
        <v>-133</v>
      </c>
    </row>
    <row r="156" spans="2:10">
      <c r="B156" s="4">
        <v>2006</v>
      </c>
      <c r="C156" s="4" t="s">
        <v>163</v>
      </c>
      <c r="D156" s="5">
        <v>0.2223</v>
      </c>
      <c r="E156" s="4">
        <v>1.2</v>
      </c>
      <c r="F156" s="4">
        <v>0</v>
      </c>
      <c r="G156" s="6">
        <v>1200</v>
      </c>
      <c r="H156" s="4">
        <v>207</v>
      </c>
      <c r="I156" s="4">
        <v>123</v>
      </c>
      <c r="J156" s="4">
        <v>27</v>
      </c>
    </row>
    <row r="157" spans="2:10">
      <c r="B157" s="4">
        <v>2007</v>
      </c>
      <c r="C157" s="4" t="s">
        <v>164</v>
      </c>
      <c r="D157" s="5">
        <v>0.2321</v>
      </c>
      <c r="E157" s="4">
        <v>0.2</v>
      </c>
      <c r="F157" s="4">
        <v>0.2</v>
      </c>
      <c r="G157" s="4">
        <v>400</v>
      </c>
      <c r="H157" s="4">
        <v>73</v>
      </c>
      <c r="I157" s="4">
        <v>45</v>
      </c>
      <c r="J157" s="4">
        <v>13</v>
      </c>
    </row>
    <row r="158" spans="2:10">
      <c r="B158" s="4">
        <v>2009</v>
      </c>
      <c r="C158" s="4" t="s">
        <v>165</v>
      </c>
      <c r="D158" s="5">
        <v>7.7499999999999999E-2</v>
      </c>
      <c r="E158" s="4">
        <v>1.1000000000000001</v>
      </c>
      <c r="F158" s="4">
        <v>0</v>
      </c>
      <c r="G158" s="6">
        <v>1100</v>
      </c>
      <c r="H158" s="4">
        <v>30</v>
      </c>
      <c r="I158" s="4">
        <v>-47</v>
      </c>
      <c r="J158" s="4">
        <v>-135</v>
      </c>
    </row>
    <row r="159" spans="2:10">
      <c r="B159" s="4">
        <v>2010</v>
      </c>
      <c r="C159" s="4" t="s">
        <v>166</v>
      </c>
      <c r="D159" s="5">
        <v>0.20699999999999999</v>
      </c>
      <c r="E159" s="4">
        <v>0.6</v>
      </c>
      <c r="F159" s="4">
        <v>0.7</v>
      </c>
      <c r="G159" s="6">
        <v>1300</v>
      </c>
      <c r="H159" s="4">
        <v>204</v>
      </c>
      <c r="I159" s="4">
        <v>113</v>
      </c>
      <c r="J159" s="4">
        <v>9</v>
      </c>
    </row>
    <row r="160" spans="2:10">
      <c r="B160" s="4">
        <v>2013</v>
      </c>
      <c r="C160" s="4" t="s">
        <v>167</v>
      </c>
      <c r="D160" s="5">
        <v>0.29499999999999998</v>
      </c>
      <c r="E160" s="4">
        <v>1.5</v>
      </c>
      <c r="F160" s="4">
        <v>0</v>
      </c>
      <c r="G160" s="6">
        <v>1500</v>
      </c>
      <c r="H160" s="4">
        <v>368</v>
      </c>
      <c r="I160" s="4">
        <v>263</v>
      </c>
      <c r="J160" s="4">
        <v>143</v>
      </c>
    </row>
    <row r="161" spans="2:10">
      <c r="B161" s="4">
        <v>2014</v>
      </c>
      <c r="C161" s="4" t="s">
        <v>168</v>
      </c>
      <c r="D161" s="5">
        <v>0.20480000000000001</v>
      </c>
      <c r="E161" s="4">
        <v>0.6</v>
      </c>
      <c r="F161" s="4">
        <v>0.4</v>
      </c>
      <c r="G161" s="6">
        <v>1000</v>
      </c>
      <c r="H161" s="4">
        <v>155</v>
      </c>
      <c r="I161" s="4">
        <v>85</v>
      </c>
      <c r="J161" s="4">
        <v>5</v>
      </c>
    </row>
    <row r="162" spans="2:10">
      <c r="B162" s="4">
        <v>2015</v>
      </c>
      <c r="C162" s="4" t="s">
        <v>169</v>
      </c>
      <c r="D162" s="5">
        <v>0.222</v>
      </c>
      <c r="E162" s="4">
        <v>2.75</v>
      </c>
      <c r="F162" s="4">
        <v>0</v>
      </c>
      <c r="G162" s="6">
        <v>2750</v>
      </c>
      <c r="H162" s="4">
        <v>473</v>
      </c>
      <c r="I162" s="4">
        <v>281</v>
      </c>
      <c r="J162" s="4">
        <v>61</v>
      </c>
    </row>
    <row r="163" spans="2:10">
      <c r="B163" s="4">
        <v>2020</v>
      </c>
      <c r="C163" s="4" t="s">
        <v>170</v>
      </c>
      <c r="D163" s="5">
        <v>5.8200000000000002E-2</v>
      </c>
      <c r="E163" s="4">
        <v>0.8</v>
      </c>
      <c r="F163" s="4">
        <v>0.8</v>
      </c>
      <c r="G163" s="6">
        <v>1600</v>
      </c>
      <c r="H163" s="4">
        <v>13</v>
      </c>
      <c r="I163" s="4">
        <v>-99</v>
      </c>
      <c r="J163" s="4">
        <v>-227</v>
      </c>
    </row>
    <row r="164" spans="2:10">
      <c r="B164" s="4">
        <v>2023</v>
      </c>
      <c r="C164" s="4" t="s">
        <v>171</v>
      </c>
      <c r="D164" s="5">
        <v>0.44940000000000002</v>
      </c>
      <c r="E164" s="4">
        <v>0.3</v>
      </c>
      <c r="F164" s="4">
        <v>0.5</v>
      </c>
      <c r="G164" s="4">
        <v>800</v>
      </c>
      <c r="H164" s="4">
        <v>320</v>
      </c>
      <c r="I164" s="4">
        <v>264</v>
      </c>
      <c r="J164" s="4">
        <v>200</v>
      </c>
    </row>
    <row r="165" spans="2:10">
      <c r="B165" s="4">
        <v>2027</v>
      </c>
      <c r="C165" s="4" t="s">
        <v>172</v>
      </c>
      <c r="D165" s="5">
        <v>0.20519999999999999</v>
      </c>
      <c r="E165" s="4">
        <v>0</v>
      </c>
      <c r="F165" s="4">
        <v>1</v>
      </c>
      <c r="G165" s="6">
        <v>1000</v>
      </c>
      <c r="H165" s="4">
        <v>155</v>
      </c>
      <c r="I165" s="4">
        <v>85</v>
      </c>
      <c r="J165" s="4">
        <v>5</v>
      </c>
    </row>
    <row r="166" spans="2:10">
      <c r="B166" s="4">
        <v>2029</v>
      </c>
      <c r="C166" s="4" t="s">
        <v>173</v>
      </c>
      <c r="D166" s="5">
        <v>0.2863</v>
      </c>
      <c r="E166" s="4">
        <v>0.35</v>
      </c>
      <c r="F166" s="4">
        <v>0</v>
      </c>
      <c r="G166" s="4">
        <v>350</v>
      </c>
      <c r="H166" s="4">
        <v>83</v>
      </c>
      <c r="I166" s="4">
        <v>58</v>
      </c>
      <c r="J166" s="4">
        <v>30</v>
      </c>
    </row>
    <row r="167" spans="2:10">
      <c r="B167" s="4">
        <v>2031</v>
      </c>
      <c r="C167" s="4" t="s">
        <v>174</v>
      </c>
      <c r="D167" s="5">
        <v>0.35920000000000002</v>
      </c>
      <c r="E167" s="4">
        <v>2.04</v>
      </c>
      <c r="F167" s="4">
        <v>0</v>
      </c>
      <c r="G167" s="6">
        <v>2040</v>
      </c>
      <c r="H167" s="4">
        <v>631</v>
      </c>
      <c r="I167" s="4">
        <v>488</v>
      </c>
      <c r="J167" s="4">
        <v>325</v>
      </c>
    </row>
    <row r="168" spans="2:10">
      <c r="B168" s="4">
        <v>2032</v>
      </c>
      <c r="C168" s="4" t="s">
        <v>175</v>
      </c>
      <c r="D168" s="5">
        <v>0.1366</v>
      </c>
      <c r="E168" s="4">
        <v>0.4</v>
      </c>
      <c r="F168" s="4">
        <v>0.2</v>
      </c>
      <c r="G168" s="4">
        <v>600</v>
      </c>
      <c r="H168" s="4">
        <v>52</v>
      </c>
      <c r="I168" s="4">
        <v>10</v>
      </c>
      <c r="J168" s="4">
        <v>-38</v>
      </c>
    </row>
    <row r="169" spans="2:10">
      <c r="B169" s="4">
        <v>2033</v>
      </c>
      <c r="C169" s="4" t="s">
        <v>176</v>
      </c>
      <c r="D169" s="5">
        <v>0.21110000000000001</v>
      </c>
      <c r="E169" s="4">
        <v>0.8</v>
      </c>
      <c r="F169" s="4">
        <v>0</v>
      </c>
      <c r="G169" s="4">
        <v>800</v>
      </c>
      <c r="H169" s="4">
        <v>129</v>
      </c>
      <c r="I169" s="4">
        <v>73</v>
      </c>
      <c r="J169" s="4">
        <v>9</v>
      </c>
    </row>
    <row r="170" spans="2:10">
      <c r="B170" s="4">
        <v>2034</v>
      </c>
      <c r="C170" s="4" t="s">
        <v>177</v>
      </c>
      <c r="D170" s="5">
        <v>0.128</v>
      </c>
      <c r="E170" s="4">
        <v>1.2112700000000001</v>
      </c>
      <c r="F170" s="4">
        <v>0</v>
      </c>
      <c r="G170" s="6">
        <v>1211</v>
      </c>
      <c r="H170" s="4">
        <v>94</v>
      </c>
      <c r="I170" s="4">
        <v>10</v>
      </c>
      <c r="J170" s="4">
        <v>-87</v>
      </c>
    </row>
    <row r="171" spans="2:10">
      <c r="B171" s="4">
        <v>2038</v>
      </c>
      <c r="C171" s="4" t="s">
        <v>178</v>
      </c>
      <c r="D171" s="5">
        <v>0.45040000000000002</v>
      </c>
      <c r="E171" s="4">
        <v>0.3</v>
      </c>
      <c r="F171" s="4">
        <v>0</v>
      </c>
      <c r="G171" s="4">
        <v>300</v>
      </c>
      <c r="H171" s="4">
        <v>120</v>
      </c>
      <c r="I171" s="4">
        <v>99</v>
      </c>
      <c r="J171" s="4">
        <v>75</v>
      </c>
    </row>
    <row r="172" spans="2:10">
      <c r="B172" s="4">
        <v>2049</v>
      </c>
      <c r="C172" s="4" t="s">
        <v>179</v>
      </c>
      <c r="D172" s="5">
        <v>9.8400000000000001E-2</v>
      </c>
      <c r="E172" s="4">
        <v>3</v>
      </c>
      <c r="F172" s="4">
        <v>0.3</v>
      </c>
      <c r="G172" s="6">
        <v>3300</v>
      </c>
      <c r="H172" s="4">
        <v>160</v>
      </c>
      <c r="I172" s="4">
        <v>-71</v>
      </c>
      <c r="J172" s="4">
        <v>-335</v>
      </c>
    </row>
    <row r="173" spans="2:10">
      <c r="B173" s="4">
        <v>2059</v>
      </c>
      <c r="C173" s="4" t="s">
        <v>180</v>
      </c>
      <c r="D173" s="5">
        <v>0.20810000000000001</v>
      </c>
      <c r="E173" s="4">
        <v>5.5</v>
      </c>
      <c r="F173" s="4">
        <v>0</v>
      </c>
      <c r="G173" s="6">
        <v>5500</v>
      </c>
      <c r="H173" s="4">
        <v>870</v>
      </c>
      <c r="I173" s="4">
        <v>485</v>
      </c>
      <c r="J173" s="4">
        <v>45</v>
      </c>
    </row>
    <row r="174" spans="2:10">
      <c r="B174" s="4">
        <v>2061</v>
      </c>
      <c r="C174" s="4" t="s">
        <v>181</v>
      </c>
      <c r="D174" s="5">
        <v>0.1033</v>
      </c>
      <c r="E174" s="4">
        <v>1</v>
      </c>
      <c r="F174" s="4">
        <v>0</v>
      </c>
      <c r="G174" s="6">
        <v>1000</v>
      </c>
      <c r="H174" s="4">
        <v>53</v>
      </c>
      <c r="I174" s="4">
        <v>-17</v>
      </c>
      <c r="J174" s="4">
        <v>-97</v>
      </c>
    </row>
    <row r="175" spans="2:10">
      <c r="B175" s="4">
        <v>2062</v>
      </c>
      <c r="C175" s="4" t="s">
        <v>182</v>
      </c>
      <c r="D175" s="5">
        <v>0.1862</v>
      </c>
      <c r="E175" s="4">
        <v>3.5</v>
      </c>
      <c r="F175" s="4">
        <v>0</v>
      </c>
      <c r="G175" s="6">
        <v>3500</v>
      </c>
      <c r="H175" s="4">
        <v>477</v>
      </c>
      <c r="I175" s="4">
        <v>232</v>
      </c>
      <c r="J175" s="4">
        <v>-48</v>
      </c>
    </row>
    <row r="176" spans="2:10">
      <c r="B176" s="4">
        <v>2063</v>
      </c>
      <c r="C176" s="4" t="s">
        <v>183</v>
      </c>
      <c r="D176" s="5">
        <v>0.13589999999999999</v>
      </c>
      <c r="E176" s="4">
        <v>3</v>
      </c>
      <c r="F176" s="4">
        <v>0.8</v>
      </c>
      <c r="G176" s="6">
        <v>3800</v>
      </c>
      <c r="H176" s="4">
        <v>326</v>
      </c>
      <c r="I176" s="4">
        <v>60</v>
      </c>
      <c r="J176" s="4">
        <v>-244</v>
      </c>
    </row>
    <row r="177" spans="2:10">
      <c r="B177" s="4">
        <v>2101</v>
      </c>
      <c r="C177" s="4" t="s">
        <v>184</v>
      </c>
      <c r="D177" s="5">
        <v>0.1033</v>
      </c>
      <c r="E177" s="4">
        <v>0.5</v>
      </c>
      <c r="F177" s="4">
        <v>0.6</v>
      </c>
      <c r="G177" s="6">
        <v>1100</v>
      </c>
      <c r="H177" s="4">
        <v>59</v>
      </c>
      <c r="I177" s="4">
        <v>-18</v>
      </c>
      <c r="J177" s="4">
        <v>-106</v>
      </c>
    </row>
    <row r="178" spans="2:10">
      <c r="B178" s="4">
        <v>2102</v>
      </c>
      <c r="C178" s="4" t="s">
        <v>185</v>
      </c>
      <c r="D178" s="5">
        <v>0</v>
      </c>
      <c r="E178" s="4">
        <v>0.05</v>
      </c>
      <c r="F178" s="4">
        <v>0.45</v>
      </c>
      <c r="G178" s="4">
        <v>500</v>
      </c>
      <c r="H178" s="4">
        <v>-25</v>
      </c>
      <c r="I178" s="4">
        <v>-60</v>
      </c>
      <c r="J178" s="4">
        <v>-100</v>
      </c>
    </row>
    <row r="179" spans="2:10">
      <c r="B179" s="4">
        <v>2103</v>
      </c>
      <c r="C179" s="4" t="s">
        <v>186</v>
      </c>
      <c r="D179" s="5">
        <v>9.6699999999999994E-2</v>
      </c>
      <c r="E179" s="4">
        <v>3.5</v>
      </c>
      <c r="F179" s="4">
        <v>1</v>
      </c>
      <c r="G179" s="6">
        <v>4500</v>
      </c>
      <c r="H179" s="4">
        <v>210</v>
      </c>
      <c r="I179" s="4">
        <v>-105</v>
      </c>
      <c r="J179" s="4">
        <v>-465</v>
      </c>
    </row>
    <row r="180" spans="2:10">
      <c r="B180" s="4">
        <v>2104</v>
      </c>
      <c r="C180" s="4" t="s">
        <v>187</v>
      </c>
      <c r="D180" s="5">
        <v>7.0099999999999996E-2</v>
      </c>
      <c r="E180" s="4">
        <v>1.6</v>
      </c>
      <c r="F180" s="4">
        <v>0</v>
      </c>
      <c r="G180" s="6">
        <v>1600</v>
      </c>
      <c r="H180" s="4">
        <v>32</v>
      </c>
      <c r="I180" s="4">
        <v>-80</v>
      </c>
      <c r="J180" s="4">
        <v>-208</v>
      </c>
    </row>
    <row r="181" spans="2:10">
      <c r="B181" s="4">
        <v>2105</v>
      </c>
      <c r="C181" s="4" t="s">
        <v>188</v>
      </c>
      <c r="D181" s="5">
        <v>1.38E-2</v>
      </c>
      <c r="E181" s="4">
        <v>2</v>
      </c>
      <c r="F181" s="4">
        <v>2</v>
      </c>
      <c r="G181" s="6">
        <v>4000</v>
      </c>
      <c r="H181" s="4">
        <v>-145</v>
      </c>
      <c r="I181" s="4">
        <v>-425</v>
      </c>
      <c r="J181" s="4">
        <v>-745</v>
      </c>
    </row>
    <row r="182" spans="2:10">
      <c r="B182" s="4">
        <v>2106</v>
      </c>
      <c r="C182" s="4" t="s">
        <v>189</v>
      </c>
      <c r="D182" s="5">
        <v>7.6700000000000004E-2</v>
      </c>
      <c r="E182" s="4">
        <v>1.1000000000000001</v>
      </c>
      <c r="F182" s="4">
        <v>1.1000000000000001</v>
      </c>
      <c r="G182" s="6">
        <v>2200</v>
      </c>
      <c r="H182" s="4">
        <v>59</v>
      </c>
      <c r="I182" s="4">
        <v>-95</v>
      </c>
      <c r="J182" s="4">
        <v>-271</v>
      </c>
    </row>
    <row r="183" spans="2:10">
      <c r="B183" s="4">
        <v>2107</v>
      </c>
      <c r="C183" s="4" t="s">
        <v>190</v>
      </c>
      <c r="D183" s="5">
        <v>3.6900000000000002E-2</v>
      </c>
      <c r="E183" s="4">
        <v>2.6</v>
      </c>
      <c r="F183" s="4">
        <v>0</v>
      </c>
      <c r="G183" s="6">
        <v>2600</v>
      </c>
      <c r="H183" s="4">
        <v>-34</v>
      </c>
      <c r="I183" s="4">
        <v>-216</v>
      </c>
      <c r="J183" s="4">
        <v>-424</v>
      </c>
    </row>
    <row r="184" spans="2:10">
      <c r="B184" s="4">
        <v>2108</v>
      </c>
      <c r="C184" s="4" t="s">
        <v>191</v>
      </c>
      <c r="D184" s="5">
        <v>0.1414</v>
      </c>
      <c r="E184" s="4">
        <v>0.9</v>
      </c>
      <c r="F184" s="4">
        <v>0.6</v>
      </c>
      <c r="G184" s="6">
        <v>1500</v>
      </c>
      <c r="H184" s="4">
        <v>137</v>
      </c>
      <c r="I184" s="4">
        <v>32</v>
      </c>
      <c r="J184" s="4">
        <v>-88</v>
      </c>
    </row>
    <row r="185" spans="2:10">
      <c r="B185" s="4">
        <v>2114</v>
      </c>
      <c r="C185" s="4" t="s">
        <v>192</v>
      </c>
      <c r="D185" s="5">
        <v>0.10150000000000001</v>
      </c>
      <c r="E185" s="4">
        <v>3</v>
      </c>
      <c r="F185" s="4">
        <v>0</v>
      </c>
      <c r="G185" s="6">
        <v>3000</v>
      </c>
      <c r="H185" s="4">
        <v>155</v>
      </c>
      <c r="I185" s="4">
        <v>-56</v>
      </c>
      <c r="J185" s="4">
        <v>-296</v>
      </c>
    </row>
    <row r="186" spans="2:10">
      <c r="B186" s="4">
        <v>2201</v>
      </c>
      <c r="C186" s="4" t="s">
        <v>193</v>
      </c>
      <c r="D186" s="5">
        <v>0.26600000000000001</v>
      </c>
      <c r="E186" s="4">
        <v>1</v>
      </c>
      <c r="F186" s="4">
        <v>0</v>
      </c>
      <c r="G186" s="6">
        <v>1000</v>
      </c>
      <c r="H186" s="4">
        <v>216</v>
      </c>
      <c r="I186" s="4">
        <v>146</v>
      </c>
      <c r="J186" s="4">
        <v>66</v>
      </c>
    </row>
    <row r="187" spans="2:10">
      <c r="B187" s="4">
        <v>2204</v>
      </c>
      <c r="C187" s="4" t="s">
        <v>194</v>
      </c>
      <c r="D187" s="5">
        <v>0.18</v>
      </c>
      <c r="E187" s="4">
        <v>1</v>
      </c>
      <c r="F187" s="4">
        <v>0</v>
      </c>
      <c r="G187" s="6">
        <v>1000</v>
      </c>
      <c r="H187" s="4">
        <v>130</v>
      </c>
      <c r="I187" s="4">
        <v>60</v>
      </c>
      <c r="J187" s="4">
        <v>-20</v>
      </c>
    </row>
    <row r="188" spans="2:10">
      <c r="B188" s="4">
        <v>2206</v>
      </c>
      <c r="C188" s="4" t="s">
        <v>195</v>
      </c>
      <c r="D188" s="5">
        <v>2.18E-2</v>
      </c>
      <c r="E188" s="4">
        <v>0.1</v>
      </c>
      <c r="F188" s="4">
        <v>0.6</v>
      </c>
      <c r="G188" s="4">
        <v>700</v>
      </c>
      <c r="H188" s="4">
        <v>-20</v>
      </c>
      <c r="I188" s="4">
        <v>-69</v>
      </c>
      <c r="J188" s="4">
        <v>-125</v>
      </c>
    </row>
    <row r="189" spans="2:10">
      <c r="B189" s="4">
        <v>2207</v>
      </c>
      <c r="C189" s="4" t="s">
        <v>196</v>
      </c>
      <c r="D189" s="5">
        <v>0.23350000000000001</v>
      </c>
      <c r="E189" s="4">
        <v>6</v>
      </c>
      <c r="F189" s="4">
        <v>0</v>
      </c>
      <c r="G189" s="6">
        <v>6000</v>
      </c>
      <c r="H189" s="4">
        <v>1101</v>
      </c>
      <c r="I189" s="4">
        <v>681</v>
      </c>
      <c r="J189" s="4">
        <v>201</v>
      </c>
    </row>
    <row r="190" spans="2:10">
      <c r="B190" s="4">
        <v>2208</v>
      </c>
      <c r="C190" s="4" t="s">
        <v>197</v>
      </c>
      <c r="D190" s="5">
        <v>0.308</v>
      </c>
      <c r="E190" s="4">
        <v>1.8</v>
      </c>
      <c r="F190" s="4">
        <v>0</v>
      </c>
      <c r="G190" s="6">
        <v>1800</v>
      </c>
      <c r="H190" s="4">
        <v>464</v>
      </c>
      <c r="I190" s="4">
        <v>338</v>
      </c>
      <c r="J190" s="4">
        <v>194</v>
      </c>
    </row>
    <row r="191" spans="2:10">
      <c r="B191" s="4">
        <v>2227</v>
      </c>
      <c r="C191" s="4" t="s">
        <v>198</v>
      </c>
      <c r="D191" s="5">
        <v>6.4000000000000001E-2</v>
      </c>
      <c r="E191" s="4">
        <v>5.6</v>
      </c>
      <c r="F191" s="4">
        <v>0</v>
      </c>
      <c r="G191" s="6">
        <v>5600</v>
      </c>
      <c r="H191" s="4">
        <v>78</v>
      </c>
      <c r="I191" s="4">
        <v>-314</v>
      </c>
      <c r="J191" s="4">
        <v>-762</v>
      </c>
    </row>
    <row r="192" spans="2:10">
      <c r="B192" s="4">
        <v>2231</v>
      </c>
      <c r="C192" s="4" t="s">
        <v>199</v>
      </c>
      <c r="D192" s="5">
        <v>0.2485</v>
      </c>
      <c r="E192" s="4">
        <v>4</v>
      </c>
      <c r="F192" s="4">
        <v>0</v>
      </c>
      <c r="G192" s="6">
        <v>4000</v>
      </c>
      <c r="H192" s="4">
        <v>794</v>
      </c>
      <c r="I192" s="4">
        <v>514</v>
      </c>
      <c r="J192" s="4">
        <v>194</v>
      </c>
    </row>
    <row r="193" spans="2:10">
      <c r="B193" s="4">
        <v>2301</v>
      </c>
      <c r="C193" s="4" t="s">
        <v>200</v>
      </c>
      <c r="D193" s="5">
        <v>8.9200000000000002E-2</v>
      </c>
      <c r="E193" s="4">
        <v>2.87</v>
      </c>
      <c r="F193" s="4">
        <v>0.05</v>
      </c>
      <c r="G193" s="6">
        <v>2920</v>
      </c>
      <c r="H193" s="4">
        <v>114</v>
      </c>
      <c r="I193" s="4">
        <v>-90</v>
      </c>
      <c r="J193" s="4">
        <v>-324</v>
      </c>
    </row>
    <row r="194" spans="2:10">
      <c r="B194" s="4">
        <v>2302</v>
      </c>
      <c r="C194" s="4" t="s">
        <v>201</v>
      </c>
      <c r="D194" s="5">
        <v>0.23200000000000001</v>
      </c>
      <c r="E194" s="4">
        <v>0.05</v>
      </c>
      <c r="F194" s="4">
        <v>0.17</v>
      </c>
      <c r="G194" s="4">
        <v>220</v>
      </c>
      <c r="H194" s="4">
        <v>40</v>
      </c>
      <c r="I194" s="4">
        <v>25</v>
      </c>
      <c r="J194" s="4">
        <v>7</v>
      </c>
    </row>
    <row r="195" spans="2:10">
      <c r="B195" s="4">
        <v>2303</v>
      </c>
      <c r="C195" s="4" t="s">
        <v>202</v>
      </c>
      <c r="D195" s="5">
        <v>1.83E-2</v>
      </c>
      <c r="E195" s="4">
        <v>1.1200000000000001</v>
      </c>
      <c r="F195" s="4">
        <v>0</v>
      </c>
      <c r="G195" s="6">
        <v>1120</v>
      </c>
      <c r="H195" s="4">
        <v>-36</v>
      </c>
      <c r="I195" s="4">
        <v>-114</v>
      </c>
      <c r="J195" s="4">
        <v>-204</v>
      </c>
    </row>
    <row r="196" spans="2:10">
      <c r="B196" s="4">
        <v>2308</v>
      </c>
      <c r="C196" s="4" t="s">
        <v>203</v>
      </c>
      <c r="D196" s="5">
        <v>5.6099999999999997E-2</v>
      </c>
      <c r="E196" s="4">
        <v>5.2</v>
      </c>
      <c r="F196" s="4">
        <v>0</v>
      </c>
      <c r="G196" s="6">
        <v>5200</v>
      </c>
      <c r="H196" s="4">
        <v>32</v>
      </c>
      <c r="I196" s="4">
        <v>-332</v>
      </c>
      <c r="J196" s="4">
        <v>-748</v>
      </c>
    </row>
    <row r="197" spans="2:10">
      <c r="B197" s="4">
        <v>2311</v>
      </c>
      <c r="C197" s="4" t="s">
        <v>204</v>
      </c>
      <c r="D197" s="5">
        <v>5.0900000000000001E-2</v>
      </c>
      <c r="E197" s="4">
        <v>0.65</v>
      </c>
      <c r="F197" s="4">
        <v>1.1499999999999999</v>
      </c>
      <c r="G197" s="6">
        <v>1800</v>
      </c>
      <c r="H197" s="4">
        <v>2</v>
      </c>
      <c r="I197" s="4">
        <v>-124</v>
      </c>
      <c r="J197" s="4">
        <v>-268</v>
      </c>
    </row>
    <row r="198" spans="2:10">
      <c r="B198" s="4">
        <v>2312</v>
      </c>
      <c r="C198" s="4" t="s">
        <v>205</v>
      </c>
      <c r="D198" s="5">
        <v>0.20480000000000001</v>
      </c>
      <c r="E198" s="4">
        <v>0.1</v>
      </c>
      <c r="F198" s="4">
        <v>0</v>
      </c>
      <c r="G198" s="4">
        <v>100</v>
      </c>
      <c r="H198" s="4">
        <v>15</v>
      </c>
      <c r="I198" s="4">
        <v>8</v>
      </c>
      <c r="J198" s="4">
        <v>0</v>
      </c>
    </row>
    <row r="199" spans="2:10">
      <c r="B199" s="4">
        <v>2315</v>
      </c>
      <c r="C199" s="4" t="s">
        <v>206</v>
      </c>
      <c r="D199" s="5">
        <v>0.21690000000000001</v>
      </c>
      <c r="E199" s="4">
        <v>0.15</v>
      </c>
      <c r="F199" s="4">
        <v>0</v>
      </c>
      <c r="G199" s="4">
        <v>150</v>
      </c>
      <c r="H199" s="4">
        <v>25</v>
      </c>
      <c r="I199" s="4">
        <v>15</v>
      </c>
      <c r="J199" s="4">
        <v>3</v>
      </c>
    </row>
    <row r="200" spans="2:10">
      <c r="B200" s="4">
        <v>2317</v>
      </c>
      <c r="C200" s="4" t="s">
        <v>207</v>
      </c>
      <c r="D200" s="5">
        <v>0.14030000000000001</v>
      </c>
      <c r="E200" s="4">
        <v>1</v>
      </c>
      <c r="F200" s="4">
        <v>1</v>
      </c>
      <c r="G200" s="6">
        <v>2000</v>
      </c>
      <c r="H200" s="4">
        <v>181</v>
      </c>
      <c r="I200" s="4">
        <v>41</v>
      </c>
      <c r="J200" s="4">
        <v>-119</v>
      </c>
    </row>
    <row r="201" spans="2:10">
      <c r="B201" s="4">
        <v>2324</v>
      </c>
      <c r="C201" s="4" t="s">
        <v>208</v>
      </c>
      <c r="D201" s="5">
        <v>0.14349999999999999</v>
      </c>
      <c r="E201" s="4">
        <v>2.7</v>
      </c>
      <c r="F201" s="4">
        <v>0</v>
      </c>
      <c r="G201" s="6">
        <v>2700</v>
      </c>
      <c r="H201" s="4">
        <v>252</v>
      </c>
      <c r="I201" s="4">
        <v>63</v>
      </c>
      <c r="J201" s="4">
        <v>-153</v>
      </c>
    </row>
    <row r="202" spans="2:10">
      <c r="B202" s="4">
        <v>2325</v>
      </c>
      <c r="C202" s="4" t="s">
        <v>209</v>
      </c>
      <c r="D202" s="5">
        <v>8.9399999999999993E-2</v>
      </c>
      <c r="E202" s="4">
        <v>1.62</v>
      </c>
      <c r="F202" s="4">
        <v>0</v>
      </c>
      <c r="G202" s="6">
        <v>1620</v>
      </c>
      <c r="H202" s="4">
        <v>64</v>
      </c>
      <c r="I202" s="4">
        <v>-50</v>
      </c>
      <c r="J202" s="4">
        <v>-179</v>
      </c>
    </row>
    <row r="203" spans="2:10">
      <c r="B203" s="4">
        <v>2327</v>
      </c>
      <c r="C203" s="4" t="s">
        <v>210</v>
      </c>
      <c r="D203" s="5">
        <v>3.7600000000000001E-2</v>
      </c>
      <c r="E203" s="4">
        <v>0.1</v>
      </c>
      <c r="F203" s="4">
        <v>0</v>
      </c>
      <c r="G203" s="4">
        <v>100</v>
      </c>
      <c r="H203" s="4">
        <v>-1</v>
      </c>
      <c r="I203" s="4">
        <v>-8</v>
      </c>
      <c r="J203" s="4">
        <v>-16</v>
      </c>
    </row>
    <row r="204" spans="2:10">
      <c r="B204" s="4">
        <v>2328</v>
      </c>
      <c r="C204" s="4" t="s">
        <v>211</v>
      </c>
      <c r="D204" s="5">
        <v>6.9500000000000006E-2</v>
      </c>
      <c r="E204" s="4">
        <v>0.3</v>
      </c>
      <c r="F204" s="4">
        <v>0.1</v>
      </c>
      <c r="G204" s="4">
        <v>400</v>
      </c>
      <c r="H204" s="4">
        <v>8</v>
      </c>
      <c r="I204" s="4">
        <v>-20</v>
      </c>
      <c r="J204" s="4">
        <v>-52</v>
      </c>
    </row>
    <row r="205" spans="2:10">
      <c r="B205" s="4">
        <v>2330</v>
      </c>
      <c r="C205" s="4" t="s">
        <v>212</v>
      </c>
      <c r="D205" s="5">
        <v>4.7E-2</v>
      </c>
      <c r="E205" s="4">
        <v>3</v>
      </c>
      <c r="F205" s="4">
        <v>0</v>
      </c>
      <c r="G205" s="6">
        <v>3000</v>
      </c>
      <c r="H205" s="4">
        <v>-9</v>
      </c>
      <c r="I205" s="4">
        <v>-219</v>
      </c>
      <c r="J205" s="4">
        <v>-459</v>
      </c>
    </row>
    <row r="206" spans="2:10">
      <c r="B206" s="4">
        <v>2332</v>
      </c>
      <c r="C206" s="4" t="s">
        <v>213</v>
      </c>
      <c r="D206" s="5">
        <v>0.188</v>
      </c>
      <c r="E206" s="4">
        <v>1.3</v>
      </c>
      <c r="F206" s="4">
        <v>0</v>
      </c>
      <c r="G206" s="6">
        <v>1300</v>
      </c>
      <c r="H206" s="4">
        <v>179</v>
      </c>
      <c r="I206" s="4">
        <v>88</v>
      </c>
      <c r="J206" s="4">
        <v>-16</v>
      </c>
    </row>
    <row r="207" spans="2:10">
      <c r="B207" s="4">
        <v>2337</v>
      </c>
      <c r="C207" s="4" t="s">
        <v>214</v>
      </c>
      <c r="D207" s="5">
        <v>2.0299999999999999E-2</v>
      </c>
      <c r="E207" s="4">
        <v>1.7</v>
      </c>
      <c r="F207" s="4">
        <v>0</v>
      </c>
      <c r="G207" s="6">
        <v>1700</v>
      </c>
      <c r="H207" s="4">
        <v>-50</v>
      </c>
      <c r="I207" s="4">
        <v>-169</v>
      </c>
      <c r="J207" s="4">
        <v>-305</v>
      </c>
    </row>
    <row r="208" spans="2:10">
      <c r="B208" s="4">
        <v>2338</v>
      </c>
      <c r="C208" s="4" t="s">
        <v>215</v>
      </c>
      <c r="D208" s="5">
        <v>1.12E-2</v>
      </c>
      <c r="E208" s="4">
        <v>0.73</v>
      </c>
      <c r="F208" s="4">
        <v>0</v>
      </c>
      <c r="G208" s="4">
        <v>730</v>
      </c>
      <c r="H208" s="4">
        <v>-28</v>
      </c>
      <c r="I208" s="4">
        <v>-79</v>
      </c>
      <c r="J208" s="4">
        <v>-138</v>
      </c>
    </row>
    <row r="209" spans="2:10">
      <c r="B209" s="4">
        <v>2340</v>
      </c>
      <c r="C209" s="4" t="s">
        <v>216</v>
      </c>
      <c r="D209" s="5">
        <v>0</v>
      </c>
      <c r="E209" s="4">
        <v>1</v>
      </c>
      <c r="F209" s="4">
        <v>0</v>
      </c>
      <c r="G209" s="6">
        <v>1000</v>
      </c>
      <c r="H209" s="4">
        <v>-50</v>
      </c>
      <c r="I209" s="4">
        <v>-120</v>
      </c>
      <c r="J209" s="4">
        <v>-200</v>
      </c>
    </row>
    <row r="210" spans="2:10">
      <c r="B210" s="4">
        <v>2345</v>
      </c>
      <c r="C210" s="4" t="s">
        <v>217</v>
      </c>
      <c r="D210" s="5">
        <v>1.72E-2</v>
      </c>
      <c r="E210" s="4">
        <v>1.4249400000000001</v>
      </c>
      <c r="F210" s="4">
        <v>0.36</v>
      </c>
      <c r="G210" s="6">
        <v>1785</v>
      </c>
      <c r="H210" s="4">
        <v>-59</v>
      </c>
      <c r="I210" s="4">
        <v>-183</v>
      </c>
      <c r="J210" s="4">
        <v>-326</v>
      </c>
    </row>
    <row r="211" spans="2:10">
      <c r="B211" s="4">
        <v>2347</v>
      </c>
      <c r="C211" s="4" t="s">
        <v>218</v>
      </c>
      <c r="D211" s="5">
        <v>4.2599999999999999E-2</v>
      </c>
      <c r="E211" s="4">
        <v>2.25</v>
      </c>
      <c r="F211" s="4">
        <v>0</v>
      </c>
      <c r="G211" s="6">
        <v>2250</v>
      </c>
      <c r="H211" s="4">
        <v>-17</v>
      </c>
      <c r="I211" s="4">
        <v>-174</v>
      </c>
      <c r="J211" s="4">
        <v>-354</v>
      </c>
    </row>
    <row r="212" spans="2:10">
      <c r="B212" s="4">
        <v>2351</v>
      </c>
      <c r="C212" s="4" t="s">
        <v>219</v>
      </c>
      <c r="D212" s="5">
        <v>0.19439999999999999</v>
      </c>
      <c r="E212" s="4">
        <v>1.8</v>
      </c>
      <c r="F212" s="4">
        <v>0</v>
      </c>
      <c r="G212" s="6">
        <v>1800</v>
      </c>
      <c r="H212" s="4">
        <v>260</v>
      </c>
      <c r="I212" s="4">
        <v>134</v>
      </c>
      <c r="J212" s="4">
        <v>-10</v>
      </c>
    </row>
    <row r="213" spans="2:10">
      <c r="B213" s="4">
        <v>2352</v>
      </c>
      <c r="C213" s="4" t="s">
        <v>220</v>
      </c>
      <c r="D213" s="5">
        <v>0.20130000000000001</v>
      </c>
      <c r="E213" s="4">
        <v>0.5</v>
      </c>
      <c r="F213" s="4">
        <v>0.2</v>
      </c>
      <c r="G213" s="4">
        <v>700</v>
      </c>
      <c r="H213" s="4">
        <v>106</v>
      </c>
      <c r="I213" s="4">
        <v>57</v>
      </c>
      <c r="J213" s="4">
        <v>1</v>
      </c>
    </row>
    <row r="214" spans="2:10">
      <c r="B214" s="4">
        <v>2353</v>
      </c>
      <c r="C214" s="4" t="s">
        <v>221</v>
      </c>
      <c r="D214" s="5">
        <v>8.6400000000000005E-2</v>
      </c>
      <c r="E214" s="4">
        <v>3.6</v>
      </c>
      <c r="F214" s="4">
        <v>0</v>
      </c>
      <c r="G214" s="6">
        <v>3600</v>
      </c>
      <c r="H214" s="4">
        <v>131</v>
      </c>
      <c r="I214" s="4">
        <v>-121</v>
      </c>
      <c r="J214" s="4">
        <v>-409</v>
      </c>
    </row>
    <row r="215" spans="2:10">
      <c r="B215" s="4">
        <v>2354</v>
      </c>
      <c r="C215" s="4" t="s">
        <v>222</v>
      </c>
      <c r="D215" s="5">
        <v>0.16400000000000001</v>
      </c>
      <c r="E215" s="4">
        <v>1</v>
      </c>
      <c r="F215" s="4">
        <v>0.5</v>
      </c>
      <c r="G215" s="6">
        <v>1500</v>
      </c>
      <c r="H215" s="4">
        <v>171</v>
      </c>
      <c r="I215" s="4">
        <v>66</v>
      </c>
      <c r="J215" s="4">
        <v>-54</v>
      </c>
    </row>
    <row r="216" spans="2:10">
      <c r="B216" s="4">
        <v>2355</v>
      </c>
      <c r="C216" s="4" t="s">
        <v>223</v>
      </c>
      <c r="D216" s="5">
        <v>0.15340000000000001</v>
      </c>
      <c r="E216" s="4">
        <v>1.25</v>
      </c>
      <c r="F216" s="4">
        <v>0</v>
      </c>
      <c r="G216" s="6">
        <v>1250</v>
      </c>
      <c r="H216" s="4">
        <v>129</v>
      </c>
      <c r="I216" s="4">
        <v>42</v>
      </c>
      <c r="J216" s="4">
        <v>-58</v>
      </c>
    </row>
    <row r="217" spans="2:10">
      <c r="B217" s="4">
        <v>2356</v>
      </c>
      <c r="C217" s="4" t="s">
        <v>224</v>
      </c>
      <c r="D217" s="5">
        <v>0.11210000000000001</v>
      </c>
      <c r="E217" s="4">
        <v>1</v>
      </c>
      <c r="F217" s="4">
        <v>0</v>
      </c>
      <c r="G217" s="6">
        <v>1000</v>
      </c>
      <c r="H217" s="4">
        <v>62</v>
      </c>
      <c r="I217" s="4">
        <v>-8</v>
      </c>
      <c r="J217" s="4">
        <v>-88</v>
      </c>
    </row>
    <row r="218" spans="2:10">
      <c r="B218" s="4">
        <v>2357</v>
      </c>
      <c r="C218" s="4" t="s">
        <v>225</v>
      </c>
      <c r="D218" s="5">
        <v>0.1807</v>
      </c>
      <c r="E218" s="4">
        <v>14</v>
      </c>
      <c r="F218" s="4">
        <v>2.2000000000000002</v>
      </c>
      <c r="G218" s="6">
        <v>16200</v>
      </c>
      <c r="H218" s="4">
        <v>2117</v>
      </c>
      <c r="I218" s="4">
        <v>983</v>
      </c>
      <c r="J218" s="4">
        <v>-313</v>
      </c>
    </row>
    <row r="219" spans="2:10">
      <c r="B219" s="4">
        <v>2359</v>
      </c>
      <c r="C219" s="4" t="s">
        <v>226</v>
      </c>
      <c r="D219" s="5">
        <v>0.20910000000000001</v>
      </c>
      <c r="E219" s="4">
        <v>0.3</v>
      </c>
      <c r="F219" s="4">
        <v>0</v>
      </c>
      <c r="G219" s="4">
        <v>300</v>
      </c>
      <c r="H219" s="4">
        <v>48</v>
      </c>
      <c r="I219" s="4">
        <v>27</v>
      </c>
      <c r="J219" s="4">
        <v>3</v>
      </c>
    </row>
    <row r="220" spans="2:10">
      <c r="B220" s="4">
        <v>2360</v>
      </c>
      <c r="C220" s="4" t="s">
        <v>227</v>
      </c>
      <c r="D220" s="5">
        <v>8.5699999999999998E-2</v>
      </c>
      <c r="E220" s="4">
        <v>3.8</v>
      </c>
      <c r="F220" s="4">
        <v>0.4</v>
      </c>
      <c r="G220" s="6">
        <v>4200</v>
      </c>
      <c r="H220" s="4">
        <v>150</v>
      </c>
      <c r="I220" s="4">
        <v>-144</v>
      </c>
      <c r="J220" s="4">
        <v>-480</v>
      </c>
    </row>
    <row r="221" spans="2:10">
      <c r="B221" s="4">
        <v>2362</v>
      </c>
      <c r="C221" s="4" t="s">
        <v>228</v>
      </c>
      <c r="D221" s="5">
        <v>1.1299999999999999E-2</v>
      </c>
      <c r="E221" s="4">
        <v>1</v>
      </c>
      <c r="F221" s="4">
        <v>0</v>
      </c>
      <c r="G221" s="6">
        <v>1000</v>
      </c>
      <c r="H221" s="4">
        <v>-39</v>
      </c>
      <c r="I221" s="4">
        <v>-109</v>
      </c>
      <c r="J221" s="4">
        <v>-189</v>
      </c>
    </row>
    <row r="222" spans="2:10">
      <c r="B222" s="4">
        <v>2363</v>
      </c>
      <c r="C222" s="4" t="s">
        <v>229</v>
      </c>
      <c r="D222" s="5">
        <v>0.1462</v>
      </c>
      <c r="E222" s="4">
        <v>0.1794</v>
      </c>
      <c r="F222" s="4">
        <v>0</v>
      </c>
      <c r="G222" s="4">
        <v>179</v>
      </c>
      <c r="H222" s="4">
        <v>17</v>
      </c>
      <c r="I222" s="4">
        <v>5</v>
      </c>
      <c r="J222" s="4">
        <v>-10</v>
      </c>
    </row>
    <row r="223" spans="2:10">
      <c r="B223" s="4">
        <v>2365</v>
      </c>
      <c r="C223" s="4" t="s">
        <v>230</v>
      </c>
      <c r="D223" s="5">
        <v>1.4200000000000001E-2</v>
      </c>
      <c r="E223" s="4">
        <v>0.24</v>
      </c>
      <c r="F223" s="4">
        <v>0</v>
      </c>
      <c r="G223" s="4">
        <v>240</v>
      </c>
      <c r="H223" s="4">
        <v>-9</v>
      </c>
      <c r="I223" s="4">
        <v>-25</v>
      </c>
      <c r="J223" s="4">
        <v>-45</v>
      </c>
    </row>
    <row r="224" spans="2:10">
      <c r="B224" s="4">
        <v>2367</v>
      </c>
      <c r="C224" s="4" t="s">
        <v>231</v>
      </c>
      <c r="D224" s="5">
        <v>0.33329999999999999</v>
      </c>
      <c r="E224" s="4">
        <v>0.2</v>
      </c>
      <c r="F224" s="4">
        <v>0</v>
      </c>
      <c r="G224" s="4">
        <v>200</v>
      </c>
      <c r="H224" s="4">
        <v>57</v>
      </c>
      <c r="I224" s="4">
        <v>43</v>
      </c>
      <c r="J224" s="4">
        <v>27</v>
      </c>
    </row>
    <row r="225" spans="2:10">
      <c r="B225" s="4">
        <v>2368</v>
      </c>
      <c r="C225" s="4" t="s">
        <v>232</v>
      </c>
      <c r="D225" s="5">
        <v>0.1421</v>
      </c>
      <c r="E225" s="4">
        <v>0.15</v>
      </c>
      <c r="F225" s="4">
        <v>0</v>
      </c>
      <c r="G225" s="4">
        <v>150</v>
      </c>
      <c r="H225" s="4">
        <v>14</v>
      </c>
      <c r="I225" s="4">
        <v>3</v>
      </c>
      <c r="J225" s="4">
        <v>-9</v>
      </c>
    </row>
    <row r="226" spans="2:10">
      <c r="B226" s="4">
        <v>2369</v>
      </c>
      <c r="C226" s="4" t="s">
        <v>233</v>
      </c>
      <c r="D226" s="5">
        <v>0.17349999999999999</v>
      </c>
      <c r="E226" s="4">
        <v>1.2202</v>
      </c>
      <c r="F226" s="4">
        <v>0</v>
      </c>
      <c r="G226" s="6">
        <v>1220</v>
      </c>
      <c r="H226" s="4">
        <v>151</v>
      </c>
      <c r="I226" s="4">
        <v>65</v>
      </c>
      <c r="J226" s="4">
        <v>-32</v>
      </c>
    </row>
    <row r="227" spans="2:10">
      <c r="B227" s="4">
        <v>2373</v>
      </c>
      <c r="C227" s="4" t="s">
        <v>234</v>
      </c>
      <c r="D227" s="5">
        <v>0.1318</v>
      </c>
      <c r="E227" s="4">
        <v>2</v>
      </c>
      <c r="F227" s="4">
        <v>0</v>
      </c>
      <c r="G227" s="6">
        <v>2000</v>
      </c>
      <c r="H227" s="4">
        <v>164</v>
      </c>
      <c r="I227" s="4">
        <v>24</v>
      </c>
      <c r="J227" s="4">
        <v>-136</v>
      </c>
    </row>
    <row r="228" spans="2:10">
      <c r="B228" s="4">
        <v>2374</v>
      </c>
      <c r="C228" s="4" t="s">
        <v>235</v>
      </c>
      <c r="D228" s="5">
        <v>0.1192</v>
      </c>
      <c r="E228" s="4">
        <v>3</v>
      </c>
      <c r="F228" s="4">
        <v>0</v>
      </c>
      <c r="G228" s="6">
        <v>3000</v>
      </c>
      <c r="H228" s="4">
        <v>208</v>
      </c>
      <c r="I228" s="4">
        <v>-2</v>
      </c>
      <c r="J228" s="4">
        <v>-242</v>
      </c>
    </row>
    <row r="229" spans="2:10">
      <c r="B229" s="4">
        <v>2376</v>
      </c>
      <c r="C229" s="4" t="s">
        <v>236</v>
      </c>
      <c r="D229" s="5">
        <v>0.1469</v>
      </c>
      <c r="E229" s="4">
        <v>2.5</v>
      </c>
      <c r="F229" s="4">
        <v>0</v>
      </c>
      <c r="G229" s="6">
        <v>2500</v>
      </c>
      <c r="H229" s="4">
        <v>242</v>
      </c>
      <c r="I229" s="4">
        <v>67</v>
      </c>
      <c r="J229" s="4">
        <v>-133</v>
      </c>
    </row>
    <row r="230" spans="2:10">
      <c r="B230" s="4">
        <v>2377</v>
      </c>
      <c r="C230" s="4" t="s">
        <v>237</v>
      </c>
      <c r="D230" s="5">
        <v>0.1464</v>
      </c>
      <c r="E230" s="4">
        <v>0.5</v>
      </c>
      <c r="F230" s="4">
        <v>0</v>
      </c>
      <c r="G230" s="4">
        <v>500</v>
      </c>
      <c r="H230" s="4">
        <v>48</v>
      </c>
      <c r="I230" s="4">
        <v>13</v>
      </c>
      <c r="J230" s="4">
        <v>-27</v>
      </c>
    </row>
    <row r="231" spans="2:10">
      <c r="B231" s="4">
        <v>2379</v>
      </c>
      <c r="C231" s="4" t="s">
        <v>238</v>
      </c>
      <c r="D231" s="5">
        <v>2.7699999999999999E-2</v>
      </c>
      <c r="E231" s="4">
        <v>2.5</v>
      </c>
      <c r="F231" s="4">
        <v>0.1</v>
      </c>
      <c r="G231" s="6">
        <v>2600</v>
      </c>
      <c r="H231" s="4">
        <v>-58</v>
      </c>
      <c r="I231" s="4">
        <v>-240</v>
      </c>
      <c r="J231" s="4">
        <v>-448</v>
      </c>
    </row>
    <row r="232" spans="2:10">
      <c r="B232" s="4">
        <v>2380</v>
      </c>
      <c r="C232" s="4" t="s">
        <v>239</v>
      </c>
      <c r="D232" s="5">
        <v>0.21970000000000001</v>
      </c>
      <c r="E232" s="4">
        <v>0.4</v>
      </c>
      <c r="F232" s="4">
        <v>0</v>
      </c>
      <c r="G232" s="4">
        <v>400</v>
      </c>
      <c r="H232" s="4">
        <v>68</v>
      </c>
      <c r="I232" s="4">
        <v>40</v>
      </c>
      <c r="J232" s="4">
        <v>8</v>
      </c>
    </row>
    <row r="233" spans="2:10">
      <c r="B233" s="4">
        <v>2382</v>
      </c>
      <c r="C233" s="4" t="s">
        <v>240</v>
      </c>
      <c r="D233" s="5">
        <v>0.2029</v>
      </c>
      <c r="E233" s="4">
        <v>3.2</v>
      </c>
      <c r="F233" s="4">
        <v>0</v>
      </c>
      <c r="G233" s="6">
        <v>3200</v>
      </c>
      <c r="H233" s="4">
        <v>489</v>
      </c>
      <c r="I233" s="4">
        <v>265</v>
      </c>
      <c r="J233" s="4">
        <v>9</v>
      </c>
    </row>
    <row r="234" spans="2:10">
      <c r="B234" s="4">
        <v>2383</v>
      </c>
      <c r="C234" s="4" t="s">
        <v>241</v>
      </c>
      <c r="D234" s="5">
        <v>5.79E-2</v>
      </c>
      <c r="E234" s="4">
        <v>1.75</v>
      </c>
      <c r="F234" s="4">
        <v>0.25</v>
      </c>
      <c r="G234" s="6">
        <v>2000</v>
      </c>
      <c r="H234" s="4">
        <v>16</v>
      </c>
      <c r="I234" s="4">
        <v>-124</v>
      </c>
      <c r="J234" s="4">
        <v>-284</v>
      </c>
    </row>
    <row r="235" spans="2:10">
      <c r="B235" s="4">
        <v>2384</v>
      </c>
      <c r="C235" s="4" t="s">
        <v>242</v>
      </c>
      <c r="D235" s="5">
        <v>0.20480000000000001</v>
      </c>
      <c r="E235" s="4">
        <v>1.03749</v>
      </c>
      <c r="F235" s="4">
        <v>1</v>
      </c>
      <c r="G235" s="6">
        <v>2037</v>
      </c>
      <c r="H235" s="4">
        <v>315</v>
      </c>
      <c r="I235" s="4">
        <v>173</v>
      </c>
      <c r="J235" s="4">
        <v>10</v>
      </c>
    </row>
    <row r="236" spans="2:10">
      <c r="B236" s="4">
        <v>2385</v>
      </c>
      <c r="C236" s="4" t="s">
        <v>243</v>
      </c>
      <c r="D236" s="5">
        <v>0.1094</v>
      </c>
      <c r="E236" s="4">
        <v>4</v>
      </c>
      <c r="F236" s="4">
        <v>0.35</v>
      </c>
      <c r="G236" s="6">
        <v>4350</v>
      </c>
      <c r="H236" s="4">
        <v>258</v>
      </c>
      <c r="I236" s="4">
        <v>-46</v>
      </c>
      <c r="J236" s="4">
        <v>-394</v>
      </c>
    </row>
    <row r="237" spans="2:10">
      <c r="B237" s="4">
        <v>2387</v>
      </c>
      <c r="C237" s="4" t="s">
        <v>244</v>
      </c>
      <c r="D237" s="5">
        <v>8.6099999999999996E-2</v>
      </c>
      <c r="E237" s="4">
        <v>1.4</v>
      </c>
      <c r="F237" s="4">
        <v>0</v>
      </c>
      <c r="G237" s="6">
        <v>1400</v>
      </c>
      <c r="H237" s="4">
        <v>51</v>
      </c>
      <c r="I237" s="4">
        <v>-47</v>
      </c>
      <c r="J237" s="4">
        <v>-159</v>
      </c>
    </row>
    <row r="238" spans="2:10">
      <c r="B238" s="4">
        <v>2392</v>
      </c>
      <c r="C238" s="4" t="s">
        <v>245</v>
      </c>
      <c r="D238" s="5">
        <v>0.18540000000000001</v>
      </c>
      <c r="E238" s="4">
        <v>2.5</v>
      </c>
      <c r="F238" s="4">
        <v>0.1</v>
      </c>
      <c r="G238" s="6">
        <v>2600</v>
      </c>
      <c r="H238" s="4">
        <v>352</v>
      </c>
      <c r="I238" s="4">
        <v>170</v>
      </c>
      <c r="J238" s="4">
        <v>-38</v>
      </c>
    </row>
    <row r="239" spans="2:10">
      <c r="B239" s="4">
        <v>2393</v>
      </c>
      <c r="C239" s="4" t="s">
        <v>246</v>
      </c>
      <c r="D239" s="5">
        <v>0.1033</v>
      </c>
      <c r="E239" s="4">
        <v>3.6</v>
      </c>
      <c r="F239" s="4">
        <v>0</v>
      </c>
      <c r="G239" s="6">
        <v>3600</v>
      </c>
      <c r="H239" s="4">
        <v>192</v>
      </c>
      <c r="I239" s="4">
        <v>-60</v>
      </c>
      <c r="J239" s="4">
        <v>-348</v>
      </c>
    </row>
    <row r="240" spans="2:10">
      <c r="B240" s="4">
        <v>2395</v>
      </c>
      <c r="C240" s="4" t="s">
        <v>247</v>
      </c>
      <c r="D240" s="5">
        <v>9.0999999999999998E-2</v>
      </c>
      <c r="E240" s="4">
        <v>3.5</v>
      </c>
      <c r="F240" s="4">
        <v>1</v>
      </c>
      <c r="G240" s="6">
        <v>4500</v>
      </c>
      <c r="H240" s="4">
        <v>185</v>
      </c>
      <c r="I240" s="4">
        <v>-131</v>
      </c>
      <c r="J240" s="4">
        <v>-491</v>
      </c>
    </row>
    <row r="241" spans="2:10">
      <c r="B241" s="4">
        <v>2397</v>
      </c>
      <c r="C241" s="4" t="s">
        <v>248</v>
      </c>
      <c r="D241" s="5">
        <v>0.2228</v>
      </c>
      <c r="E241" s="4">
        <v>1</v>
      </c>
      <c r="F241" s="4">
        <v>0</v>
      </c>
      <c r="G241" s="6">
        <v>1000</v>
      </c>
      <c r="H241" s="4">
        <v>173</v>
      </c>
      <c r="I241" s="4">
        <v>103</v>
      </c>
      <c r="J241" s="4">
        <v>23</v>
      </c>
    </row>
    <row r="242" spans="2:10">
      <c r="B242" s="4">
        <v>2399</v>
      </c>
      <c r="C242" s="4" t="s">
        <v>249</v>
      </c>
      <c r="D242" s="5">
        <v>0.29470000000000002</v>
      </c>
      <c r="E242" s="4">
        <v>1.27</v>
      </c>
      <c r="F242" s="4">
        <v>0</v>
      </c>
      <c r="G242" s="6">
        <v>1270</v>
      </c>
      <c r="H242" s="4">
        <v>311</v>
      </c>
      <c r="I242" s="4">
        <v>222</v>
      </c>
      <c r="J242" s="4">
        <v>120</v>
      </c>
    </row>
    <row r="243" spans="2:10">
      <c r="B243" s="4">
        <v>2401</v>
      </c>
      <c r="C243" s="4" t="s">
        <v>250</v>
      </c>
      <c r="D243" s="5">
        <v>0.113</v>
      </c>
      <c r="E243" s="4">
        <v>0.8</v>
      </c>
      <c r="F243" s="4">
        <v>0</v>
      </c>
      <c r="G243" s="4">
        <v>800</v>
      </c>
      <c r="H243" s="4">
        <v>50</v>
      </c>
      <c r="I243" s="4">
        <v>-6</v>
      </c>
      <c r="J243" s="4">
        <v>-70</v>
      </c>
    </row>
    <row r="244" spans="2:10">
      <c r="B244" s="4">
        <v>2404</v>
      </c>
      <c r="C244" s="4" t="s">
        <v>251</v>
      </c>
      <c r="D244" s="5">
        <v>0.17610000000000001</v>
      </c>
      <c r="E244" s="4">
        <v>4</v>
      </c>
      <c r="F244" s="4">
        <v>0</v>
      </c>
      <c r="G244" s="6">
        <v>4000</v>
      </c>
      <c r="H244" s="4">
        <v>504</v>
      </c>
      <c r="I244" s="4">
        <v>224</v>
      </c>
      <c r="J244" s="4">
        <v>-96</v>
      </c>
    </row>
    <row r="245" spans="2:10">
      <c r="B245" s="4">
        <v>2406</v>
      </c>
      <c r="C245" s="4" t="s">
        <v>252</v>
      </c>
      <c r="D245" s="5">
        <v>1.6999999999999999E-3</v>
      </c>
      <c r="E245" s="4">
        <v>1.5</v>
      </c>
      <c r="F245" s="4">
        <v>1</v>
      </c>
      <c r="G245" s="6">
        <v>2500</v>
      </c>
      <c r="H245" s="4">
        <v>-121</v>
      </c>
      <c r="I245" s="4">
        <v>-296</v>
      </c>
      <c r="J245" s="4">
        <v>-496</v>
      </c>
    </row>
    <row r="246" spans="2:10">
      <c r="B246" s="4">
        <v>2409</v>
      </c>
      <c r="C246" s="4" t="s">
        <v>253</v>
      </c>
      <c r="D246" s="5">
        <v>0.1166</v>
      </c>
      <c r="E246" s="4">
        <v>0.4</v>
      </c>
      <c r="F246" s="4">
        <v>0</v>
      </c>
      <c r="G246" s="4">
        <v>400</v>
      </c>
      <c r="H246" s="4">
        <v>27</v>
      </c>
      <c r="I246" s="4">
        <v>-1</v>
      </c>
      <c r="J246" s="4">
        <v>-33</v>
      </c>
    </row>
    <row r="247" spans="2:10">
      <c r="B247" s="4">
        <v>2412</v>
      </c>
      <c r="C247" s="4" t="s">
        <v>254</v>
      </c>
      <c r="D247" s="5">
        <v>0.18770000000000001</v>
      </c>
      <c r="E247" s="4">
        <v>5.5243000000000002</v>
      </c>
      <c r="F247" s="4">
        <v>0</v>
      </c>
      <c r="G247" s="6">
        <v>5524</v>
      </c>
      <c r="H247" s="4">
        <v>761</v>
      </c>
      <c r="I247" s="4">
        <v>374</v>
      </c>
      <c r="J247" s="4">
        <v>-68</v>
      </c>
    </row>
    <row r="248" spans="2:10">
      <c r="B248" s="4">
        <v>2413</v>
      </c>
      <c r="C248" s="4" t="s">
        <v>255</v>
      </c>
      <c r="D248" s="5">
        <v>0.16089999999999999</v>
      </c>
      <c r="E248" s="4">
        <v>0.5</v>
      </c>
      <c r="F248" s="4">
        <v>0</v>
      </c>
      <c r="G248" s="4">
        <v>500</v>
      </c>
      <c r="H248" s="4">
        <v>55</v>
      </c>
      <c r="I248" s="4">
        <v>20</v>
      </c>
      <c r="J248" s="4">
        <v>-20</v>
      </c>
    </row>
    <row r="249" spans="2:10">
      <c r="B249" s="4">
        <v>2414</v>
      </c>
      <c r="C249" s="4" t="s">
        <v>256</v>
      </c>
      <c r="D249" s="5">
        <v>0.2281</v>
      </c>
      <c r="E249" s="4">
        <v>1.32</v>
      </c>
      <c r="F249" s="4">
        <v>0</v>
      </c>
      <c r="G249" s="6">
        <v>1320</v>
      </c>
      <c r="H249" s="4">
        <v>235</v>
      </c>
      <c r="I249" s="4">
        <v>143</v>
      </c>
      <c r="J249" s="4">
        <v>37</v>
      </c>
    </row>
    <row r="250" spans="2:10">
      <c r="B250" s="4">
        <v>2417</v>
      </c>
      <c r="C250" s="4" t="s">
        <v>257</v>
      </c>
      <c r="D250" s="5">
        <v>6.8099999999999994E-2</v>
      </c>
      <c r="E250" s="4">
        <v>3</v>
      </c>
      <c r="F250" s="4">
        <v>0</v>
      </c>
      <c r="G250" s="6">
        <v>3000</v>
      </c>
      <c r="H250" s="4">
        <v>54</v>
      </c>
      <c r="I250" s="4">
        <v>-156</v>
      </c>
      <c r="J250" s="4">
        <v>-396</v>
      </c>
    </row>
    <row r="251" spans="2:10">
      <c r="B251" s="4">
        <v>2419</v>
      </c>
      <c r="C251" s="4" t="s">
        <v>258</v>
      </c>
      <c r="D251" s="5">
        <v>0.1426</v>
      </c>
      <c r="E251" s="4">
        <v>1.163</v>
      </c>
      <c r="F251" s="4">
        <v>0</v>
      </c>
      <c r="G251" s="6">
        <v>1163</v>
      </c>
      <c r="H251" s="4">
        <v>108</v>
      </c>
      <c r="I251" s="4">
        <v>26</v>
      </c>
      <c r="J251" s="4">
        <v>-67</v>
      </c>
    </row>
    <row r="252" spans="2:10">
      <c r="B252" s="4">
        <v>2420</v>
      </c>
      <c r="C252" s="4" t="s">
        <v>259</v>
      </c>
      <c r="D252" s="5">
        <v>0.14940000000000001</v>
      </c>
      <c r="E252" s="4">
        <v>1.8</v>
      </c>
      <c r="F252" s="4">
        <v>0</v>
      </c>
      <c r="G252" s="6">
        <v>1800</v>
      </c>
      <c r="H252" s="4">
        <v>179</v>
      </c>
      <c r="I252" s="4">
        <v>53</v>
      </c>
      <c r="J252" s="4">
        <v>-91</v>
      </c>
    </row>
    <row r="253" spans="2:10">
      <c r="B253" s="4">
        <v>2421</v>
      </c>
      <c r="C253" s="4" t="s">
        <v>260</v>
      </c>
      <c r="D253" s="5">
        <v>1.0800000000000001E-2</v>
      </c>
      <c r="E253" s="4">
        <v>2</v>
      </c>
      <c r="F253" s="4">
        <v>0</v>
      </c>
      <c r="G253" s="6">
        <v>2000</v>
      </c>
      <c r="H253" s="4">
        <v>-78</v>
      </c>
      <c r="I253" s="4">
        <v>-218</v>
      </c>
      <c r="J253" s="4">
        <v>-378</v>
      </c>
    </row>
    <row r="254" spans="2:10">
      <c r="B254" s="4">
        <v>2423</v>
      </c>
      <c r="C254" s="4" t="s">
        <v>261</v>
      </c>
      <c r="D254" s="5">
        <v>0.1608</v>
      </c>
      <c r="E254" s="4">
        <v>0.75</v>
      </c>
      <c r="F254" s="4">
        <v>0.5</v>
      </c>
      <c r="G254" s="6">
        <v>1250</v>
      </c>
      <c r="H254" s="4">
        <v>139</v>
      </c>
      <c r="I254" s="4">
        <v>51</v>
      </c>
      <c r="J254" s="4">
        <v>-49</v>
      </c>
    </row>
    <row r="255" spans="2:10">
      <c r="B255" s="4">
        <v>2426</v>
      </c>
      <c r="C255" s="4" t="s">
        <v>262</v>
      </c>
      <c r="D255" s="5">
        <v>0.19750000000000001</v>
      </c>
      <c r="E255" s="4">
        <v>0.5</v>
      </c>
      <c r="F255" s="4">
        <v>0</v>
      </c>
      <c r="G255" s="4">
        <v>500</v>
      </c>
      <c r="H255" s="4">
        <v>74</v>
      </c>
      <c r="I255" s="4">
        <v>39</v>
      </c>
      <c r="J255" s="4">
        <v>-1</v>
      </c>
    </row>
    <row r="256" spans="2:10">
      <c r="B256" s="4">
        <v>2428</v>
      </c>
      <c r="C256" s="4" t="s">
        <v>263</v>
      </c>
      <c r="D256" s="5">
        <v>0.1555</v>
      </c>
      <c r="E256" s="4">
        <v>2.4</v>
      </c>
      <c r="F256" s="4">
        <v>0</v>
      </c>
      <c r="G256" s="6">
        <v>2400</v>
      </c>
      <c r="H256" s="4">
        <v>253</v>
      </c>
      <c r="I256" s="4">
        <v>85</v>
      </c>
      <c r="J256" s="4">
        <v>-107</v>
      </c>
    </row>
    <row r="257" spans="2:10">
      <c r="B257" s="4">
        <v>2430</v>
      </c>
      <c r="C257" s="4" t="s">
        <v>264</v>
      </c>
      <c r="D257" s="5">
        <v>0.2863</v>
      </c>
      <c r="E257" s="4">
        <v>4.5</v>
      </c>
      <c r="F257" s="4">
        <v>0</v>
      </c>
      <c r="G257" s="6">
        <v>4500</v>
      </c>
      <c r="H257" s="4">
        <v>1063</v>
      </c>
      <c r="I257" s="4">
        <v>748</v>
      </c>
      <c r="J257" s="4">
        <v>388</v>
      </c>
    </row>
    <row r="258" spans="2:10">
      <c r="B258" s="4">
        <v>2431</v>
      </c>
      <c r="C258" s="4" t="s">
        <v>265</v>
      </c>
      <c r="D258" s="5">
        <v>0.28010000000000002</v>
      </c>
      <c r="E258" s="4">
        <v>0.2</v>
      </c>
      <c r="F258" s="4">
        <v>0.55000000000000004</v>
      </c>
      <c r="G258" s="4">
        <v>750</v>
      </c>
      <c r="H258" s="4">
        <v>173</v>
      </c>
      <c r="I258" s="4">
        <v>120</v>
      </c>
      <c r="J258" s="4">
        <v>60</v>
      </c>
    </row>
    <row r="259" spans="2:10">
      <c r="B259" s="4">
        <v>2433</v>
      </c>
      <c r="C259" s="4" t="s">
        <v>266</v>
      </c>
      <c r="D259" s="5">
        <v>6.3899999999999998E-2</v>
      </c>
      <c r="E259" s="4">
        <v>2.1800000000000002</v>
      </c>
      <c r="F259" s="4">
        <v>0</v>
      </c>
      <c r="G259" s="6">
        <v>2180</v>
      </c>
      <c r="H259" s="4">
        <v>30</v>
      </c>
      <c r="I259" s="4">
        <v>-122</v>
      </c>
      <c r="J259" s="4">
        <v>-297</v>
      </c>
    </row>
    <row r="260" spans="2:10">
      <c r="B260" s="4">
        <v>2436</v>
      </c>
      <c r="C260" s="4" t="s">
        <v>267</v>
      </c>
      <c r="D260" s="5">
        <v>3.6700000000000003E-2</v>
      </c>
      <c r="E260" s="4">
        <v>0.75</v>
      </c>
      <c r="F260" s="4">
        <v>0</v>
      </c>
      <c r="G260" s="4">
        <v>750</v>
      </c>
      <c r="H260" s="4">
        <v>-10</v>
      </c>
      <c r="I260" s="4">
        <v>-62</v>
      </c>
      <c r="J260" s="4">
        <v>-122</v>
      </c>
    </row>
    <row r="261" spans="2:10">
      <c r="B261" s="4">
        <v>2437</v>
      </c>
      <c r="C261" s="4" t="s">
        <v>268</v>
      </c>
      <c r="D261" s="5">
        <v>4.3700000000000003E-2</v>
      </c>
      <c r="E261" s="4">
        <v>6</v>
      </c>
      <c r="F261" s="4">
        <v>0</v>
      </c>
      <c r="G261" s="6">
        <v>6000</v>
      </c>
      <c r="H261" s="4">
        <v>-38</v>
      </c>
      <c r="I261" s="4">
        <v>-458</v>
      </c>
      <c r="J261" s="4">
        <v>-938</v>
      </c>
    </row>
    <row r="262" spans="2:10">
      <c r="B262" s="4">
        <v>2439</v>
      </c>
      <c r="C262" s="4" t="s">
        <v>269</v>
      </c>
      <c r="D262" s="5">
        <v>5.4800000000000001E-2</v>
      </c>
      <c r="E262" s="4">
        <v>3.75</v>
      </c>
      <c r="F262" s="4">
        <v>0</v>
      </c>
      <c r="G262" s="6">
        <v>3750</v>
      </c>
      <c r="H262" s="4">
        <v>18</v>
      </c>
      <c r="I262" s="4">
        <v>-245</v>
      </c>
      <c r="J262" s="4">
        <v>-545</v>
      </c>
    </row>
    <row r="263" spans="2:10">
      <c r="B263" s="4">
        <v>2441</v>
      </c>
      <c r="C263" s="4" t="s">
        <v>270</v>
      </c>
      <c r="D263" s="5">
        <v>3.5799999999999998E-2</v>
      </c>
      <c r="E263" s="4">
        <v>2</v>
      </c>
      <c r="F263" s="4">
        <v>0</v>
      </c>
      <c r="G263" s="6">
        <v>2000</v>
      </c>
      <c r="H263" s="4">
        <v>-28</v>
      </c>
      <c r="I263" s="4">
        <v>-168</v>
      </c>
      <c r="J263" s="4">
        <v>-328</v>
      </c>
    </row>
    <row r="264" spans="2:10">
      <c r="B264" s="4">
        <v>2442</v>
      </c>
      <c r="C264" s="4" t="s">
        <v>271</v>
      </c>
      <c r="D264" s="5">
        <v>0.2142</v>
      </c>
      <c r="E264" s="4">
        <v>1.3</v>
      </c>
      <c r="F264" s="4">
        <v>0</v>
      </c>
      <c r="G264" s="6">
        <v>1300</v>
      </c>
      <c r="H264" s="4">
        <v>213</v>
      </c>
      <c r="I264" s="4">
        <v>122</v>
      </c>
      <c r="J264" s="4">
        <v>18</v>
      </c>
    </row>
    <row r="265" spans="2:10">
      <c r="B265" s="4">
        <v>2448</v>
      </c>
      <c r="C265" s="4" t="s">
        <v>272</v>
      </c>
      <c r="D265" s="5">
        <v>6.0000000000000001E-3</v>
      </c>
      <c r="E265" s="4">
        <v>4.5</v>
      </c>
      <c r="F265" s="4">
        <v>0</v>
      </c>
      <c r="G265" s="6">
        <v>4500</v>
      </c>
      <c r="H265" s="4">
        <v>-198</v>
      </c>
      <c r="I265" s="4">
        <v>-513</v>
      </c>
      <c r="J265" s="4">
        <v>-873</v>
      </c>
    </row>
    <row r="266" spans="2:10">
      <c r="B266" s="4">
        <v>2449</v>
      </c>
      <c r="C266" s="4" t="s">
        <v>273</v>
      </c>
      <c r="D266" s="5">
        <v>0.20760000000000001</v>
      </c>
      <c r="E266" s="4">
        <v>1.1000000000000001</v>
      </c>
      <c r="F266" s="4">
        <v>0</v>
      </c>
      <c r="G266" s="6">
        <v>1100</v>
      </c>
      <c r="H266" s="4">
        <v>173</v>
      </c>
      <c r="I266" s="4">
        <v>96</v>
      </c>
      <c r="J266" s="4">
        <v>8</v>
      </c>
    </row>
    <row r="267" spans="2:10">
      <c r="B267" s="4">
        <v>2450</v>
      </c>
      <c r="C267" s="4" t="s">
        <v>274</v>
      </c>
      <c r="D267" s="5">
        <v>0.21829999999999999</v>
      </c>
      <c r="E267" s="4">
        <v>4</v>
      </c>
      <c r="F267" s="4">
        <v>0</v>
      </c>
      <c r="G267" s="6">
        <v>4000</v>
      </c>
      <c r="H267" s="4">
        <v>673</v>
      </c>
      <c r="I267" s="4">
        <v>393</v>
      </c>
      <c r="J267" s="4">
        <v>73</v>
      </c>
    </row>
    <row r="268" spans="2:10">
      <c r="B268" s="4">
        <v>2451</v>
      </c>
      <c r="C268" s="4" t="s">
        <v>275</v>
      </c>
      <c r="D268" s="5">
        <v>0.2447</v>
      </c>
      <c r="E268" s="4">
        <v>3</v>
      </c>
      <c r="F268" s="4">
        <v>0</v>
      </c>
      <c r="G268" s="6">
        <v>3000</v>
      </c>
      <c r="H268" s="4">
        <v>584</v>
      </c>
      <c r="I268" s="4">
        <v>374</v>
      </c>
      <c r="J268" s="4">
        <v>134</v>
      </c>
    </row>
    <row r="269" spans="2:10">
      <c r="B269" s="4">
        <v>2454</v>
      </c>
      <c r="C269" s="4" t="s">
        <v>276</v>
      </c>
      <c r="D269" s="5">
        <v>2.7799999999999998E-2</v>
      </c>
      <c r="E269" s="4">
        <v>20</v>
      </c>
      <c r="F269" s="4">
        <v>0</v>
      </c>
      <c r="G269" s="6">
        <v>20000</v>
      </c>
      <c r="H269" s="4">
        <v>-444</v>
      </c>
      <c r="I269" s="4">
        <v>-1844</v>
      </c>
      <c r="J269" s="4">
        <v>-3444</v>
      </c>
    </row>
    <row r="270" spans="2:10">
      <c r="B270" s="4">
        <v>2455</v>
      </c>
      <c r="C270" s="4" t="s">
        <v>277</v>
      </c>
      <c r="D270" s="5">
        <v>6.1999999999999998E-3</v>
      </c>
      <c r="E270" s="4">
        <v>0.5</v>
      </c>
      <c r="F270" s="4">
        <v>2.5</v>
      </c>
      <c r="G270" s="6">
        <v>3000</v>
      </c>
      <c r="H270" s="4">
        <v>-131</v>
      </c>
      <c r="I270" s="4">
        <v>-341</v>
      </c>
      <c r="J270" s="4">
        <v>-581</v>
      </c>
    </row>
    <row r="271" spans="2:10">
      <c r="B271" s="4">
        <v>2456</v>
      </c>
      <c r="C271" s="4" t="s">
        <v>278</v>
      </c>
      <c r="D271" s="5">
        <v>8.2299999999999998E-2</v>
      </c>
      <c r="E271" s="4">
        <v>1.2</v>
      </c>
      <c r="F271" s="4">
        <v>0</v>
      </c>
      <c r="G271" s="6">
        <v>1200</v>
      </c>
      <c r="H271" s="4">
        <v>39</v>
      </c>
      <c r="I271" s="4">
        <v>-45</v>
      </c>
      <c r="J271" s="4">
        <v>-141</v>
      </c>
    </row>
    <row r="272" spans="2:10">
      <c r="B272" s="4">
        <v>2457</v>
      </c>
      <c r="C272" s="4" t="s">
        <v>279</v>
      </c>
      <c r="D272" s="5">
        <v>0.222</v>
      </c>
      <c r="E272" s="4">
        <v>3.84917</v>
      </c>
      <c r="F272" s="4">
        <v>0</v>
      </c>
      <c r="G272" s="6">
        <v>3849</v>
      </c>
      <c r="H272" s="4">
        <v>662</v>
      </c>
      <c r="I272" s="4">
        <v>393</v>
      </c>
      <c r="J272" s="4">
        <v>85</v>
      </c>
    </row>
    <row r="273" spans="2:10">
      <c r="B273" s="4">
        <v>2458</v>
      </c>
      <c r="C273" s="4" t="s">
        <v>280</v>
      </c>
      <c r="D273" s="5">
        <v>0.1195</v>
      </c>
      <c r="E273" s="4">
        <v>1.52094</v>
      </c>
      <c r="F273" s="4">
        <v>0</v>
      </c>
      <c r="G273" s="6">
        <v>1521</v>
      </c>
      <c r="H273" s="4">
        <v>106</v>
      </c>
      <c r="I273" s="4">
        <v>-1</v>
      </c>
      <c r="J273" s="4">
        <v>-122</v>
      </c>
    </row>
    <row r="274" spans="2:10">
      <c r="B274" s="4">
        <v>2459</v>
      </c>
      <c r="C274" s="4" t="s">
        <v>281</v>
      </c>
      <c r="D274" s="5">
        <v>0.1024</v>
      </c>
      <c r="E274" s="4">
        <v>2.5</v>
      </c>
      <c r="F274" s="4">
        <v>0</v>
      </c>
      <c r="G274" s="6">
        <v>2500</v>
      </c>
      <c r="H274" s="4">
        <v>131</v>
      </c>
      <c r="I274" s="4">
        <v>-44</v>
      </c>
      <c r="J274" s="4">
        <v>-244</v>
      </c>
    </row>
    <row r="275" spans="2:10">
      <c r="B275" s="4">
        <v>2460</v>
      </c>
      <c r="C275" s="4" t="s">
        <v>282</v>
      </c>
      <c r="D275" s="5">
        <v>5.57E-2</v>
      </c>
      <c r="E275" s="4">
        <v>1.2</v>
      </c>
      <c r="F275" s="4">
        <v>0</v>
      </c>
      <c r="G275" s="6">
        <v>1200</v>
      </c>
      <c r="H275" s="4">
        <v>7</v>
      </c>
      <c r="I275" s="4">
        <v>-77</v>
      </c>
      <c r="J275" s="4">
        <v>-173</v>
      </c>
    </row>
    <row r="276" spans="2:10">
      <c r="B276" s="4">
        <v>2461</v>
      </c>
      <c r="C276" s="4" t="s">
        <v>283</v>
      </c>
      <c r="D276" s="5">
        <v>3.0200000000000001E-2</v>
      </c>
      <c r="E276" s="4">
        <v>0.2</v>
      </c>
      <c r="F276" s="4">
        <v>0</v>
      </c>
      <c r="G276" s="4">
        <v>200</v>
      </c>
      <c r="H276" s="4">
        <v>-4</v>
      </c>
      <c r="I276" s="4">
        <v>-18</v>
      </c>
      <c r="J276" s="4">
        <v>-34</v>
      </c>
    </row>
    <row r="277" spans="2:10">
      <c r="B277" s="4">
        <v>2462</v>
      </c>
      <c r="C277" s="4" t="s">
        <v>284</v>
      </c>
      <c r="D277" s="5">
        <v>9.0800000000000006E-2</v>
      </c>
      <c r="E277" s="4">
        <v>2</v>
      </c>
      <c r="F277" s="4">
        <v>0.3</v>
      </c>
      <c r="G277" s="6">
        <v>2300</v>
      </c>
      <c r="H277" s="4">
        <v>94</v>
      </c>
      <c r="I277" s="4">
        <v>-67</v>
      </c>
      <c r="J277" s="4">
        <v>-251</v>
      </c>
    </row>
    <row r="278" spans="2:10">
      <c r="B278" s="4">
        <v>2464</v>
      </c>
      <c r="C278" s="4" t="s">
        <v>285</v>
      </c>
      <c r="D278" s="5">
        <v>6.6500000000000004E-2</v>
      </c>
      <c r="E278" s="4">
        <v>2.2000000000000002</v>
      </c>
      <c r="F278" s="4">
        <v>0.5</v>
      </c>
      <c r="G278" s="6">
        <v>2700</v>
      </c>
      <c r="H278" s="4">
        <v>45</v>
      </c>
      <c r="I278" s="4">
        <v>-144</v>
      </c>
      <c r="J278" s="4">
        <v>-360</v>
      </c>
    </row>
    <row r="279" spans="2:10">
      <c r="B279" s="4">
        <v>2467</v>
      </c>
      <c r="C279" s="4" t="s">
        <v>286</v>
      </c>
      <c r="D279" s="5">
        <v>9.64E-2</v>
      </c>
      <c r="E279" s="4">
        <v>2</v>
      </c>
      <c r="F279" s="4">
        <v>0</v>
      </c>
      <c r="G279" s="6">
        <v>2000</v>
      </c>
      <c r="H279" s="4">
        <v>93</v>
      </c>
      <c r="I279" s="4">
        <v>-47</v>
      </c>
      <c r="J279" s="4">
        <v>-207</v>
      </c>
    </row>
    <row r="280" spans="2:10">
      <c r="B280" s="4">
        <v>2468</v>
      </c>
      <c r="C280" s="4" t="s">
        <v>287</v>
      </c>
      <c r="D280" s="5">
        <v>0.27139999999999997</v>
      </c>
      <c r="E280" s="4">
        <v>0.7</v>
      </c>
      <c r="F280" s="4">
        <v>0</v>
      </c>
      <c r="G280" s="4">
        <v>700</v>
      </c>
      <c r="H280" s="4">
        <v>155</v>
      </c>
      <c r="I280" s="4">
        <v>106</v>
      </c>
      <c r="J280" s="4">
        <v>50</v>
      </c>
    </row>
    <row r="281" spans="2:10">
      <c r="B281" s="4">
        <v>2471</v>
      </c>
      <c r="C281" s="4" t="s">
        <v>288</v>
      </c>
      <c r="D281" s="5">
        <v>0.1363</v>
      </c>
      <c r="E281" s="4">
        <v>1.2</v>
      </c>
      <c r="F281" s="4">
        <v>0</v>
      </c>
      <c r="G281" s="6">
        <v>1200</v>
      </c>
      <c r="H281" s="4">
        <v>104</v>
      </c>
      <c r="I281" s="4">
        <v>20</v>
      </c>
      <c r="J281" s="4">
        <v>-76</v>
      </c>
    </row>
    <row r="282" spans="2:10">
      <c r="B282" s="4">
        <v>2472</v>
      </c>
      <c r="C282" s="4" t="s">
        <v>289</v>
      </c>
      <c r="D282" s="5">
        <v>0.20480000000000001</v>
      </c>
      <c r="E282" s="4">
        <v>0.6</v>
      </c>
      <c r="F282" s="4">
        <v>0</v>
      </c>
      <c r="G282" s="4">
        <v>600</v>
      </c>
      <c r="H282" s="4">
        <v>93</v>
      </c>
      <c r="I282" s="4">
        <v>51</v>
      </c>
      <c r="J282" s="4">
        <v>3</v>
      </c>
    </row>
    <row r="283" spans="2:10">
      <c r="B283" s="4">
        <v>2473</v>
      </c>
      <c r="C283" s="4" t="s">
        <v>290</v>
      </c>
      <c r="D283" s="5">
        <v>0.11849999999999999</v>
      </c>
      <c r="E283" s="4">
        <v>1.3473999999999999</v>
      </c>
      <c r="F283" s="4">
        <v>0</v>
      </c>
      <c r="G283" s="6">
        <v>1347</v>
      </c>
      <c r="H283" s="4">
        <v>92</v>
      </c>
      <c r="I283" s="4">
        <v>-2</v>
      </c>
      <c r="J283" s="4">
        <v>-110</v>
      </c>
    </row>
    <row r="284" spans="2:10">
      <c r="B284" s="4">
        <v>2474</v>
      </c>
      <c r="C284" s="4" t="s">
        <v>291</v>
      </c>
      <c r="D284" s="5">
        <v>5.7500000000000002E-2</v>
      </c>
      <c r="E284" s="4">
        <v>4</v>
      </c>
      <c r="F284" s="4">
        <v>0</v>
      </c>
      <c r="G284" s="6">
        <v>4000</v>
      </c>
      <c r="H284" s="4">
        <v>30</v>
      </c>
      <c r="I284" s="4">
        <v>-250</v>
      </c>
      <c r="J284" s="4">
        <v>-570</v>
      </c>
    </row>
    <row r="285" spans="2:10">
      <c r="B285" s="4">
        <v>2476</v>
      </c>
      <c r="C285" s="4" t="s">
        <v>292</v>
      </c>
      <c r="D285" s="5">
        <v>3.5999999999999997E-2</v>
      </c>
      <c r="E285" s="4">
        <v>1.2</v>
      </c>
      <c r="F285" s="4">
        <v>0</v>
      </c>
      <c r="G285" s="6">
        <v>1200</v>
      </c>
      <c r="H285" s="4">
        <v>-17</v>
      </c>
      <c r="I285" s="4">
        <v>-101</v>
      </c>
      <c r="J285" s="4">
        <v>-197</v>
      </c>
    </row>
    <row r="286" spans="2:10">
      <c r="B286" s="4">
        <v>2477</v>
      </c>
      <c r="C286" s="4" t="s">
        <v>293</v>
      </c>
      <c r="D286" s="5">
        <v>0.1164</v>
      </c>
      <c r="E286" s="4">
        <v>0.8</v>
      </c>
      <c r="F286" s="4">
        <v>0</v>
      </c>
      <c r="G286" s="4">
        <v>800</v>
      </c>
      <c r="H286" s="4">
        <v>53</v>
      </c>
      <c r="I286" s="4">
        <v>-3</v>
      </c>
      <c r="J286" s="4">
        <v>-67</v>
      </c>
    </row>
    <row r="287" spans="2:10">
      <c r="B287" s="4">
        <v>2478</v>
      </c>
      <c r="C287" s="4" t="s">
        <v>294</v>
      </c>
      <c r="D287" s="5">
        <v>0.10299999999999999</v>
      </c>
      <c r="E287" s="4">
        <v>1</v>
      </c>
      <c r="F287" s="4">
        <v>0.8</v>
      </c>
      <c r="G287" s="6">
        <v>1800</v>
      </c>
      <c r="H287" s="4">
        <v>95</v>
      </c>
      <c r="I287" s="4">
        <v>-31</v>
      </c>
      <c r="J287" s="4">
        <v>-175</v>
      </c>
    </row>
    <row r="288" spans="2:10">
      <c r="B288" s="4">
        <v>2480</v>
      </c>
      <c r="C288" s="4" t="s">
        <v>295</v>
      </c>
      <c r="D288" s="5">
        <v>0.1211</v>
      </c>
      <c r="E288" s="4">
        <v>1.87</v>
      </c>
      <c r="F288" s="4">
        <v>0</v>
      </c>
      <c r="G288" s="6">
        <v>1870</v>
      </c>
      <c r="H288" s="4">
        <v>133</v>
      </c>
      <c r="I288" s="4">
        <v>2</v>
      </c>
      <c r="J288" s="4">
        <v>-148</v>
      </c>
    </row>
    <row r="289" spans="2:10">
      <c r="B289" s="4">
        <v>2481</v>
      </c>
      <c r="C289" s="4" t="s">
        <v>296</v>
      </c>
      <c r="D289" s="5">
        <v>7.5600000000000001E-2</v>
      </c>
      <c r="E289" s="4">
        <v>1.2</v>
      </c>
      <c r="F289" s="4">
        <v>0</v>
      </c>
      <c r="G289" s="6">
        <v>1200</v>
      </c>
      <c r="H289" s="4">
        <v>31</v>
      </c>
      <c r="I289" s="4">
        <v>-53</v>
      </c>
      <c r="J289" s="4">
        <v>-149</v>
      </c>
    </row>
    <row r="290" spans="2:10">
      <c r="B290" s="4">
        <v>2483</v>
      </c>
      <c r="C290" s="4" t="s">
        <v>297</v>
      </c>
      <c r="D290" s="5">
        <v>0.2427</v>
      </c>
      <c r="E290" s="4">
        <v>0.8</v>
      </c>
      <c r="F290" s="4">
        <v>0</v>
      </c>
      <c r="G290" s="4">
        <v>800</v>
      </c>
      <c r="H290" s="4">
        <v>154</v>
      </c>
      <c r="I290" s="4">
        <v>98</v>
      </c>
      <c r="J290" s="4">
        <v>34</v>
      </c>
    </row>
    <row r="291" spans="2:10">
      <c r="B291" s="4">
        <v>2484</v>
      </c>
      <c r="C291" s="4" t="s">
        <v>298</v>
      </c>
      <c r="D291" s="5">
        <v>0.20480000000000001</v>
      </c>
      <c r="E291" s="4">
        <v>0.25</v>
      </c>
      <c r="F291" s="4">
        <v>0</v>
      </c>
      <c r="G291" s="4">
        <v>250</v>
      </c>
      <c r="H291" s="4">
        <v>39</v>
      </c>
      <c r="I291" s="4">
        <v>21</v>
      </c>
      <c r="J291" s="4">
        <v>1</v>
      </c>
    </row>
    <row r="292" spans="2:10">
      <c r="B292" s="4">
        <v>2485</v>
      </c>
      <c r="C292" s="4" t="s">
        <v>299</v>
      </c>
      <c r="D292" s="5">
        <v>0.18440000000000001</v>
      </c>
      <c r="E292" s="4">
        <v>2.5</v>
      </c>
      <c r="F292" s="4">
        <v>0</v>
      </c>
      <c r="G292" s="6">
        <v>2500</v>
      </c>
      <c r="H292" s="4">
        <v>336</v>
      </c>
      <c r="I292" s="4">
        <v>161</v>
      </c>
      <c r="J292" s="4">
        <v>-39</v>
      </c>
    </row>
    <row r="293" spans="2:10">
      <c r="B293" s="4">
        <v>2486</v>
      </c>
      <c r="C293" s="4" t="s">
        <v>300</v>
      </c>
      <c r="D293" s="5">
        <v>0.13669999999999999</v>
      </c>
      <c r="E293" s="4">
        <v>1.25</v>
      </c>
      <c r="F293" s="4">
        <v>0</v>
      </c>
      <c r="G293" s="6">
        <v>1250</v>
      </c>
      <c r="H293" s="4">
        <v>108</v>
      </c>
      <c r="I293" s="4">
        <v>21</v>
      </c>
      <c r="J293" s="4">
        <v>-79</v>
      </c>
    </row>
    <row r="294" spans="2:10">
      <c r="B294" s="4">
        <v>2488</v>
      </c>
      <c r="C294" s="4" t="s">
        <v>301</v>
      </c>
      <c r="D294" s="5">
        <v>8.1600000000000006E-2</v>
      </c>
      <c r="E294" s="4">
        <v>1.2</v>
      </c>
      <c r="F294" s="4">
        <v>0</v>
      </c>
      <c r="G294" s="6">
        <v>1200</v>
      </c>
      <c r="H294" s="4">
        <v>38</v>
      </c>
      <c r="I294" s="4">
        <v>-46</v>
      </c>
      <c r="J294" s="4">
        <v>-142</v>
      </c>
    </row>
    <row r="295" spans="2:10">
      <c r="B295" s="4">
        <v>2489</v>
      </c>
      <c r="C295" s="4" t="s">
        <v>302</v>
      </c>
      <c r="D295" s="5">
        <v>0.20710000000000001</v>
      </c>
      <c r="E295" s="4">
        <v>2</v>
      </c>
      <c r="F295" s="4">
        <v>0.26</v>
      </c>
      <c r="G295" s="6">
        <v>2260</v>
      </c>
      <c r="H295" s="4">
        <v>355</v>
      </c>
      <c r="I295" s="4">
        <v>197</v>
      </c>
      <c r="J295" s="4">
        <v>16</v>
      </c>
    </row>
    <row r="296" spans="2:10">
      <c r="B296" s="4">
        <v>2492</v>
      </c>
      <c r="C296" s="4" t="s">
        <v>107</v>
      </c>
      <c r="D296" s="5">
        <v>0.1095</v>
      </c>
      <c r="E296" s="4">
        <v>0.129</v>
      </c>
      <c r="F296" s="4">
        <v>0.38700000000000001</v>
      </c>
      <c r="G296" s="4">
        <v>516</v>
      </c>
      <c r="H296" s="4">
        <v>31</v>
      </c>
      <c r="I296" s="4">
        <v>-5</v>
      </c>
      <c r="J296" s="4">
        <v>-47</v>
      </c>
    </row>
    <row r="297" spans="2:10">
      <c r="B297" s="4">
        <v>2493</v>
      </c>
      <c r="C297" s="4" t="s">
        <v>303</v>
      </c>
      <c r="D297" s="5">
        <v>0.1157</v>
      </c>
      <c r="E297" s="4">
        <v>1.5</v>
      </c>
      <c r="F297" s="4">
        <v>0</v>
      </c>
      <c r="G297" s="6">
        <v>1500</v>
      </c>
      <c r="H297" s="4">
        <v>99</v>
      </c>
      <c r="I297" s="4">
        <v>-6</v>
      </c>
      <c r="J297" s="4">
        <v>-126</v>
      </c>
    </row>
    <row r="298" spans="2:10">
      <c r="B298" s="4">
        <v>2495</v>
      </c>
      <c r="C298" s="4" t="s">
        <v>304</v>
      </c>
      <c r="D298" s="5">
        <v>7.0999999999999994E-2</v>
      </c>
      <c r="E298" s="4">
        <v>2.2000000000000002</v>
      </c>
      <c r="F298" s="4">
        <v>0</v>
      </c>
      <c r="G298" s="6">
        <v>2200</v>
      </c>
      <c r="H298" s="4">
        <v>46</v>
      </c>
      <c r="I298" s="4">
        <v>-108</v>
      </c>
      <c r="J298" s="4">
        <v>-284</v>
      </c>
    </row>
    <row r="299" spans="2:10">
      <c r="B299" s="4">
        <v>2498</v>
      </c>
      <c r="C299" s="4" t="s">
        <v>305</v>
      </c>
      <c r="D299" s="5">
        <v>0.18</v>
      </c>
      <c r="E299" s="4">
        <v>37</v>
      </c>
      <c r="F299" s="4">
        <v>0.5</v>
      </c>
      <c r="G299" s="6">
        <v>37500</v>
      </c>
      <c r="H299" s="4">
        <v>4875</v>
      </c>
      <c r="I299" s="4">
        <v>2250</v>
      </c>
      <c r="J299" s="4">
        <v>-750</v>
      </c>
    </row>
    <row r="300" spans="2:10">
      <c r="B300" s="4">
        <v>2499</v>
      </c>
      <c r="C300" s="4" t="s">
        <v>306</v>
      </c>
      <c r="D300" s="5">
        <v>0.14399999999999999</v>
      </c>
      <c r="E300" s="4">
        <v>1.3</v>
      </c>
      <c r="F300" s="4">
        <v>0.15</v>
      </c>
      <c r="G300" s="6">
        <v>1450</v>
      </c>
      <c r="H300" s="4">
        <v>136</v>
      </c>
      <c r="I300" s="4">
        <v>35</v>
      </c>
      <c r="J300" s="4">
        <v>-81</v>
      </c>
    </row>
    <row r="301" spans="2:10">
      <c r="B301" s="4">
        <v>2501</v>
      </c>
      <c r="C301" s="4" t="s">
        <v>307</v>
      </c>
      <c r="D301" s="5">
        <v>9.9000000000000008E-3</v>
      </c>
      <c r="E301" s="4">
        <v>0.5</v>
      </c>
      <c r="F301" s="4">
        <v>0</v>
      </c>
      <c r="G301" s="4">
        <v>500</v>
      </c>
      <c r="H301" s="4">
        <v>-20</v>
      </c>
      <c r="I301" s="4">
        <v>-55</v>
      </c>
      <c r="J301" s="4">
        <v>-95</v>
      </c>
    </row>
    <row r="302" spans="2:10">
      <c r="B302" s="4">
        <v>2504</v>
      </c>
      <c r="C302" s="4" t="s">
        <v>308</v>
      </c>
      <c r="D302" s="5">
        <v>9.9699999999999997E-2</v>
      </c>
      <c r="E302" s="4">
        <v>0.3</v>
      </c>
      <c r="F302" s="4">
        <v>0.1</v>
      </c>
      <c r="G302" s="4">
        <v>400</v>
      </c>
      <c r="H302" s="4">
        <v>20</v>
      </c>
      <c r="I302" s="4">
        <v>-8</v>
      </c>
      <c r="J302" s="4">
        <v>-40</v>
      </c>
    </row>
    <row r="303" spans="2:10">
      <c r="B303" s="4">
        <v>2509</v>
      </c>
      <c r="C303" s="4" t="s">
        <v>309</v>
      </c>
      <c r="D303" s="5">
        <v>1.34E-2</v>
      </c>
      <c r="E303" s="4">
        <v>1.7</v>
      </c>
      <c r="F303" s="4">
        <v>0</v>
      </c>
      <c r="G303" s="6">
        <v>1700</v>
      </c>
      <c r="H303" s="4">
        <v>-62</v>
      </c>
      <c r="I303" s="4">
        <v>-181</v>
      </c>
      <c r="J303" s="4">
        <v>-317</v>
      </c>
    </row>
    <row r="304" spans="2:10">
      <c r="B304" s="4">
        <v>2511</v>
      </c>
      <c r="C304" s="4" t="s">
        <v>310</v>
      </c>
      <c r="D304" s="5">
        <v>1.2999999999999999E-3</v>
      </c>
      <c r="E304" s="4">
        <v>0.9</v>
      </c>
      <c r="F304" s="4">
        <v>0.9</v>
      </c>
      <c r="G304" s="6">
        <v>1800</v>
      </c>
      <c r="H304" s="4">
        <v>-88</v>
      </c>
      <c r="I304" s="4">
        <v>-214</v>
      </c>
      <c r="J304" s="4">
        <v>-358</v>
      </c>
    </row>
    <row r="305" spans="2:10">
      <c r="B305" s="4">
        <v>2514</v>
      </c>
      <c r="C305" s="4" t="s">
        <v>311</v>
      </c>
      <c r="D305" s="5">
        <v>0.12970000000000001</v>
      </c>
      <c r="E305" s="4">
        <v>0.6</v>
      </c>
      <c r="F305" s="4">
        <v>0</v>
      </c>
      <c r="G305" s="4">
        <v>600</v>
      </c>
      <c r="H305" s="4">
        <v>48</v>
      </c>
      <c r="I305" s="4">
        <v>6</v>
      </c>
      <c r="J305" s="4">
        <v>-42</v>
      </c>
    </row>
    <row r="306" spans="2:10">
      <c r="B306" s="4">
        <v>2515</v>
      </c>
      <c r="C306" s="4" t="s">
        <v>312</v>
      </c>
      <c r="D306" s="5">
        <v>7.2499999999999995E-2</v>
      </c>
      <c r="E306" s="4">
        <v>0.13</v>
      </c>
      <c r="F306" s="4">
        <v>0</v>
      </c>
      <c r="G306" s="4">
        <v>130</v>
      </c>
      <c r="H306" s="4">
        <v>3</v>
      </c>
      <c r="I306" s="4">
        <v>-6</v>
      </c>
      <c r="J306" s="4">
        <v>-17</v>
      </c>
    </row>
    <row r="307" spans="2:10">
      <c r="B307" s="4">
        <v>2516</v>
      </c>
      <c r="C307" s="4" t="s">
        <v>313</v>
      </c>
      <c r="D307" s="5">
        <v>3.32E-2</v>
      </c>
      <c r="E307" s="4">
        <v>0.14000000000000001</v>
      </c>
      <c r="F307" s="4">
        <v>0.56000000000000005</v>
      </c>
      <c r="G307" s="4">
        <v>700</v>
      </c>
      <c r="H307" s="4">
        <v>-12</v>
      </c>
      <c r="I307" s="4">
        <v>-61</v>
      </c>
      <c r="J307" s="4">
        <v>-117</v>
      </c>
    </row>
    <row r="308" spans="2:10">
      <c r="B308" s="4">
        <v>2520</v>
      </c>
      <c r="C308" s="4" t="s">
        <v>314</v>
      </c>
      <c r="D308" s="5">
        <v>3.3099999999999997E-2</v>
      </c>
      <c r="E308" s="4">
        <v>1</v>
      </c>
      <c r="F308" s="4">
        <v>0</v>
      </c>
      <c r="G308" s="6">
        <v>1000</v>
      </c>
      <c r="H308" s="4">
        <v>-17</v>
      </c>
      <c r="I308" s="4">
        <v>-87</v>
      </c>
      <c r="J308" s="4">
        <v>-167</v>
      </c>
    </row>
    <row r="309" spans="2:10">
      <c r="B309" s="4">
        <v>2524</v>
      </c>
      <c r="C309" s="4" t="s">
        <v>315</v>
      </c>
      <c r="D309" s="5">
        <v>9.4E-2</v>
      </c>
      <c r="E309" s="4">
        <v>0.8</v>
      </c>
      <c r="F309" s="4">
        <v>0.2</v>
      </c>
      <c r="G309" s="6">
        <v>1000</v>
      </c>
      <c r="H309" s="4">
        <v>44</v>
      </c>
      <c r="I309" s="4">
        <v>-26</v>
      </c>
      <c r="J309" s="4">
        <v>-106</v>
      </c>
    </row>
    <row r="310" spans="2:10">
      <c r="B310" s="4">
        <v>2527</v>
      </c>
      <c r="C310" s="4" t="s">
        <v>316</v>
      </c>
      <c r="D310" s="5">
        <v>9.06E-2</v>
      </c>
      <c r="E310" s="4">
        <v>0.4</v>
      </c>
      <c r="F310" s="4">
        <v>0</v>
      </c>
      <c r="G310" s="4">
        <v>400</v>
      </c>
      <c r="H310" s="4">
        <v>16</v>
      </c>
      <c r="I310" s="4">
        <v>-12</v>
      </c>
      <c r="J310" s="4">
        <v>-44</v>
      </c>
    </row>
    <row r="311" spans="2:10">
      <c r="B311" s="4">
        <v>2530</v>
      </c>
      <c r="C311" s="4" t="s">
        <v>317</v>
      </c>
      <c r="D311" s="5">
        <v>1.6500000000000001E-2</v>
      </c>
      <c r="E311" s="4">
        <v>1.1000000000000001</v>
      </c>
      <c r="F311" s="4">
        <v>0.25</v>
      </c>
      <c r="G311" s="6">
        <v>1350</v>
      </c>
      <c r="H311" s="4">
        <v>-45</v>
      </c>
      <c r="I311" s="4">
        <v>-140</v>
      </c>
      <c r="J311" s="4">
        <v>-248</v>
      </c>
    </row>
    <row r="312" spans="2:10">
      <c r="B312" s="4">
        <v>2534</v>
      </c>
      <c r="C312" s="4" t="s">
        <v>318</v>
      </c>
      <c r="D312" s="5">
        <v>2.47E-2</v>
      </c>
      <c r="E312" s="4">
        <v>1.5</v>
      </c>
      <c r="F312" s="4">
        <v>0</v>
      </c>
      <c r="G312" s="6">
        <v>1500</v>
      </c>
      <c r="H312" s="4">
        <v>-38</v>
      </c>
      <c r="I312" s="4">
        <v>-143</v>
      </c>
      <c r="J312" s="4">
        <v>-263</v>
      </c>
    </row>
    <row r="313" spans="2:10">
      <c r="B313" s="4">
        <v>2535</v>
      </c>
      <c r="C313" s="4" t="s">
        <v>319</v>
      </c>
      <c r="D313" s="5">
        <v>0.2626</v>
      </c>
      <c r="E313" s="4">
        <v>1.6</v>
      </c>
      <c r="F313" s="4">
        <v>0</v>
      </c>
      <c r="G313" s="6">
        <v>1600</v>
      </c>
      <c r="H313" s="4">
        <v>340</v>
      </c>
      <c r="I313" s="4">
        <v>228</v>
      </c>
      <c r="J313" s="4">
        <v>100</v>
      </c>
    </row>
    <row r="314" spans="2:10">
      <c r="B314" s="4">
        <v>2536</v>
      </c>
      <c r="C314" s="4" t="s">
        <v>320</v>
      </c>
      <c r="D314" s="5">
        <v>2.24E-2</v>
      </c>
      <c r="E314" s="4">
        <v>1</v>
      </c>
      <c r="F314" s="4">
        <v>1</v>
      </c>
      <c r="G314" s="6">
        <v>2000</v>
      </c>
      <c r="H314" s="4">
        <v>-55</v>
      </c>
      <c r="I314" s="4">
        <v>-195</v>
      </c>
      <c r="J314" s="4">
        <v>-355</v>
      </c>
    </row>
    <row r="315" spans="2:10">
      <c r="B315" s="4">
        <v>2538</v>
      </c>
      <c r="C315" s="4" t="s">
        <v>321</v>
      </c>
      <c r="D315" s="5">
        <v>6.1899999999999997E-2</v>
      </c>
      <c r="E315" s="4">
        <v>1</v>
      </c>
      <c r="F315" s="4">
        <v>0.2</v>
      </c>
      <c r="G315" s="6">
        <v>1200</v>
      </c>
      <c r="H315" s="4">
        <v>14</v>
      </c>
      <c r="I315" s="4">
        <v>-70</v>
      </c>
      <c r="J315" s="4">
        <v>-166</v>
      </c>
    </row>
    <row r="316" spans="2:10">
      <c r="B316" s="4">
        <v>2539</v>
      </c>
      <c r="C316" s="4" t="s">
        <v>322</v>
      </c>
      <c r="D316" s="5">
        <v>0.1671</v>
      </c>
      <c r="E316" s="4">
        <v>0.13</v>
      </c>
      <c r="F316" s="4">
        <v>1.17</v>
      </c>
      <c r="G316" s="6">
        <v>1300</v>
      </c>
      <c r="H316" s="4">
        <v>152</v>
      </c>
      <c r="I316" s="4">
        <v>61</v>
      </c>
      <c r="J316" s="4">
        <v>-43</v>
      </c>
    </row>
    <row r="317" spans="2:10">
      <c r="B317" s="4">
        <v>2542</v>
      </c>
      <c r="C317" s="4" t="s">
        <v>323</v>
      </c>
      <c r="D317" s="5">
        <v>6.7999999999999996E-3</v>
      </c>
      <c r="E317" s="4">
        <v>6.1</v>
      </c>
      <c r="F317" s="4">
        <v>0</v>
      </c>
      <c r="G317" s="6">
        <v>6100</v>
      </c>
      <c r="H317" s="4">
        <v>-264</v>
      </c>
      <c r="I317" s="4">
        <v>-691</v>
      </c>
      <c r="J317" s="4">
        <v>-1179</v>
      </c>
    </row>
    <row r="318" spans="2:10">
      <c r="B318" s="4">
        <v>2545</v>
      </c>
      <c r="C318" s="4" t="s">
        <v>324</v>
      </c>
      <c r="D318" s="5">
        <v>3.1300000000000001E-2</v>
      </c>
      <c r="E318" s="4">
        <v>1.5</v>
      </c>
      <c r="F318" s="4">
        <v>0</v>
      </c>
      <c r="G318" s="6">
        <v>1500</v>
      </c>
      <c r="H318" s="4">
        <v>-28</v>
      </c>
      <c r="I318" s="4">
        <v>-133</v>
      </c>
      <c r="J318" s="4">
        <v>-253</v>
      </c>
    </row>
    <row r="319" spans="2:10">
      <c r="B319" s="4">
        <v>2546</v>
      </c>
      <c r="C319" s="4" t="s">
        <v>325</v>
      </c>
      <c r="D319" s="5">
        <v>0.2485</v>
      </c>
      <c r="E319" s="4">
        <v>3</v>
      </c>
      <c r="F319" s="4">
        <v>0</v>
      </c>
      <c r="G319" s="6">
        <v>3000</v>
      </c>
      <c r="H319" s="4">
        <v>596</v>
      </c>
      <c r="I319" s="4">
        <v>386</v>
      </c>
      <c r="J319" s="4">
        <v>146</v>
      </c>
    </row>
    <row r="320" spans="2:10">
      <c r="B320" s="4">
        <v>2547</v>
      </c>
      <c r="C320" s="4" t="s">
        <v>326</v>
      </c>
      <c r="D320" s="5">
        <v>2.9999999999999997E-4</v>
      </c>
      <c r="E320" s="4">
        <v>2.4</v>
      </c>
      <c r="F320" s="4">
        <v>0.6</v>
      </c>
      <c r="G320" s="6">
        <v>3000</v>
      </c>
      <c r="H320" s="4">
        <v>-149</v>
      </c>
      <c r="I320" s="4">
        <v>-359</v>
      </c>
      <c r="J320" s="4">
        <v>-599</v>
      </c>
    </row>
    <row r="321" spans="2:10">
      <c r="B321" s="4">
        <v>2548</v>
      </c>
      <c r="C321" s="4" t="s">
        <v>327</v>
      </c>
      <c r="D321" s="5">
        <v>3.7100000000000001E-2</v>
      </c>
      <c r="E321" s="4">
        <v>6.2</v>
      </c>
      <c r="F321" s="4">
        <v>0.3</v>
      </c>
      <c r="G321" s="6">
        <v>6500</v>
      </c>
      <c r="H321" s="4">
        <v>-84</v>
      </c>
      <c r="I321" s="4">
        <v>-539</v>
      </c>
      <c r="J321" s="4">
        <v>-1059</v>
      </c>
    </row>
    <row r="322" spans="2:10">
      <c r="B322" s="4">
        <v>2596</v>
      </c>
      <c r="C322" s="4" t="s">
        <v>328</v>
      </c>
      <c r="D322" s="5">
        <v>3.6600000000000001E-2</v>
      </c>
      <c r="E322" s="4">
        <v>1.2</v>
      </c>
      <c r="F322" s="4">
        <v>0</v>
      </c>
      <c r="G322" s="6">
        <v>1200</v>
      </c>
      <c r="H322" s="4">
        <v>-16</v>
      </c>
      <c r="I322" s="4">
        <v>-100</v>
      </c>
      <c r="J322" s="4">
        <v>-196</v>
      </c>
    </row>
    <row r="323" spans="2:10">
      <c r="B323" s="4">
        <v>2597</v>
      </c>
      <c r="C323" s="4" t="s">
        <v>329</v>
      </c>
      <c r="D323" s="5">
        <v>0.29170000000000001</v>
      </c>
      <c r="E323" s="4">
        <v>1.9</v>
      </c>
      <c r="F323" s="4">
        <v>0</v>
      </c>
      <c r="G323" s="6">
        <v>1900</v>
      </c>
      <c r="H323" s="4">
        <v>459</v>
      </c>
      <c r="I323" s="4">
        <v>326</v>
      </c>
      <c r="J323" s="4">
        <v>174</v>
      </c>
    </row>
    <row r="324" spans="2:10">
      <c r="B324" s="4">
        <v>2601</v>
      </c>
      <c r="C324" s="4" t="s">
        <v>330</v>
      </c>
      <c r="D324" s="5">
        <v>6.5199999999999994E-2</v>
      </c>
      <c r="E324" s="4">
        <v>1</v>
      </c>
      <c r="F324" s="4">
        <v>0</v>
      </c>
      <c r="G324" s="6">
        <v>1000</v>
      </c>
      <c r="H324" s="4">
        <v>15</v>
      </c>
      <c r="I324" s="4">
        <v>-55</v>
      </c>
      <c r="J324" s="4">
        <v>-135</v>
      </c>
    </row>
    <row r="325" spans="2:10">
      <c r="B325" s="4">
        <v>2603</v>
      </c>
      <c r="C325" s="4" t="s">
        <v>331</v>
      </c>
      <c r="D325" s="5">
        <v>0.14069999999999999</v>
      </c>
      <c r="E325" s="4">
        <v>1</v>
      </c>
      <c r="F325" s="4">
        <v>1</v>
      </c>
      <c r="G325" s="6">
        <v>2000</v>
      </c>
      <c r="H325" s="4">
        <v>181</v>
      </c>
      <c r="I325" s="4">
        <v>41</v>
      </c>
      <c r="J325" s="4">
        <v>-119</v>
      </c>
    </row>
    <row r="326" spans="2:10">
      <c r="B326" s="4">
        <v>2605</v>
      </c>
      <c r="C326" s="4" t="s">
        <v>332</v>
      </c>
      <c r="D326" s="5">
        <v>0.15490000000000001</v>
      </c>
      <c r="E326" s="4">
        <v>2.25</v>
      </c>
      <c r="F326" s="4">
        <v>0</v>
      </c>
      <c r="G326" s="6">
        <v>2250</v>
      </c>
      <c r="H326" s="4">
        <v>236</v>
      </c>
      <c r="I326" s="4">
        <v>79</v>
      </c>
      <c r="J326" s="4">
        <v>-101</v>
      </c>
    </row>
    <row r="327" spans="2:10">
      <c r="B327" s="4">
        <v>2606</v>
      </c>
      <c r="C327" s="4" t="s">
        <v>333</v>
      </c>
      <c r="D327" s="5">
        <v>0.04</v>
      </c>
      <c r="E327" s="4">
        <v>5</v>
      </c>
      <c r="F327" s="4">
        <v>0</v>
      </c>
      <c r="G327" s="6">
        <v>5000</v>
      </c>
      <c r="H327" s="4">
        <v>-50</v>
      </c>
      <c r="I327" s="4">
        <v>-400</v>
      </c>
      <c r="J327" s="4">
        <v>-800</v>
      </c>
    </row>
    <row r="328" spans="2:10">
      <c r="B328" s="4">
        <v>2607</v>
      </c>
      <c r="C328" s="4" t="s">
        <v>334</v>
      </c>
      <c r="D328" s="5">
        <v>0.1709</v>
      </c>
      <c r="E328" s="4">
        <v>0.7</v>
      </c>
      <c r="F328" s="4">
        <v>0</v>
      </c>
      <c r="G328" s="4">
        <v>700</v>
      </c>
      <c r="H328" s="4">
        <v>85</v>
      </c>
      <c r="I328" s="4">
        <v>36</v>
      </c>
      <c r="J328" s="4">
        <v>-20</v>
      </c>
    </row>
    <row r="329" spans="2:10">
      <c r="B329" s="4">
        <v>2608</v>
      </c>
      <c r="C329" s="4" t="s">
        <v>335</v>
      </c>
      <c r="D329" s="5">
        <v>0.27900000000000003</v>
      </c>
      <c r="E329" s="4">
        <v>0.7</v>
      </c>
      <c r="F329" s="4">
        <v>0</v>
      </c>
      <c r="G329" s="4">
        <v>700</v>
      </c>
      <c r="H329" s="4">
        <v>160</v>
      </c>
      <c r="I329" s="4">
        <v>111</v>
      </c>
      <c r="J329" s="4">
        <v>55</v>
      </c>
    </row>
    <row r="330" spans="2:10">
      <c r="B330" s="4">
        <v>2609</v>
      </c>
      <c r="C330" s="4" t="s">
        <v>336</v>
      </c>
      <c r="D330" s="5">
        <v>0.1167</v>
      </c>
      <c r="E330" s="4">
        <v>1.25</v>
      </c>
      <c r="F330" s="4">
        <v>1</v>
      </c>
      <c r="G330" s="6">
        <v>2250</v>
      </c>
      <c r="H330" s="4">
        <v>150</v>
      </c>
      <c r="I330" s="4">
        <v>-7</v>
      </c>
      <c r="J330" s="4">
        <v>-187</v>
      </c>
    </row>
    <row r="331" spans="2:10">
      <c r="B331" s="4">
        <v>2610</v>
      </c>
      <c r="C331" s="4" t="s">
        <v>337</v>
      </c>
      <c r="D331" s="5">
        <v>4.5100000000000001E-2</v>
      </c>
      <c r="E331" s="4">
        <v>0.4</v>
      </c>
      <c r="F331" s="4">
        <v>0</v>
      </c>
      <c r="G331" s="4">
        <v>400</v>
      </c>
      <c r="H331" s="4">
        <v>-2</v>
      </c>
      <c r="I331" s="4">
        <v>-30</v>
      </c>
      <c r="J331" s="4">
        <v>-62</v>
      </c>
    </row>
    <row r="332" spans="2:10">
      <c r="B332" s="4">
        <v>2611</v>
      </c>
      <c r="C332" s="4" t="s">
        <v>338</v>
      </c>
      <c r="D332" s="5">
        <v>4.1599999999999998E-2</v>
      </c>
      <c r="E332" s="4">
        <v>0</v>
      </c>
      <c r="F332" s="4">
        <v>0.5</v>
      </c>
      <c r="G332" s="4">
        <v>500</v>
      </c>
      <c r="H332" s="4">
        <v>-4</v>
      </c>
      <c r="I332" s="4">
        <v>-39</v>
      </c>
      <c r="J332" s="4">
        <v>-79</v>
      </c>
    </row>
    <row r="333" spans="2:10">
      <c r="B333" s="4">
        <v>2612</v>
      </c>
      <c r="C333" s="4" t="s">
        <v>339</v>
      </c>
      <c r="D333" s="5">
        <v>9.7799999999999998E-2</v>
      </c>
      <c r="E333" s="4">
        <v>3.2</v>
      </c>
      <c r="F333" s="4">
        <v>0</v>
      </c>
      <c r="G333" s="6">
        <v>3200</v>
      </c>
      <c r="H333" s="4">
        <v>153</v>
      </c>
      <c r="I333" s="4">
        <v>-71</v>
      </c>
      <c r="J333" s="4">
        <v>-327</v>
      </c>
    </row>
    <row r="334" spans="2:10">
      <c r="B334" s="4">
        <v>2615</v>
      </c>
      <c r="C334" s="4" t="s">
        <v>340</v>
      </c>
      <c r="D334" s="5">
        <v>6.88E-2</v>
      </c>
      <c r="E334" s="4">
        <v>1.0622</v>
      </c>
      <c r="F334" s="4">
        <v>0.5</v>
      </c>
      <c r="G334" s="6">
        <v>1562</v>
      </c>
      <c r="H334" s="4">
        <v>29</v>
      </c>
      <c r="I334" s="4">
        <v>-80</v>
      </c>
      <c r="J334" s="4">
        <v>-205</v>
      </c>
    </row>
    <row r="335" spans="2:10">
      <c r="B335" s="4">
        <v>2616</v>
      </c>
      <c r="C335" s="4" t="s">
        <v>341</v>
      </c>
      <c r="D335" s="5">
        <v>0.28799999999999998</v>
      </c>
      <c r="E335" s="4">
        <v>1.5169999999999999</v>
      </c>
      <c r="F335" s="4">
        <v>0</v>
      </c>
      <c r="G335" s="6">
        <v>1517</v>
      </c>
      <c r="H335" s="4">
        <v>361</v>
      </c>
      <c r="I335" s="4">
        <v>255</v>
      </c>
      <c r="J335" s="4">
        <v>133</v>
      </c>
    </row>
    <row r="336" spans="2:10">
      <c r="B336" s="4">
        <v>2617</v>
      </c>
      <c r="C336" s="4" t="s">
        <v>342</v>
      </c>
      <c r="D336" s="5">
        <v>9.8599999999999993E-2</v>
      </c>
      <c r="E336" s="4">
        <v>2.2000000000000002</v>
      </c>
      <c r="F336" s="4">
        <v>0</v>
      </c>
      <c r="G336" s="6">
        <v>2200</v>
      </c>
      <c r="H336" s="4">
        <v>107</v>
      </c>
      <c r="I336" s="4">
        <v>-47</v>
      </c>
      <c r="J336" s="4">
        <v>-223</v>
      </c>
    </row>
    <row r="337" spans="2:10">
      <c r="B337" s="4">
        <v>2618</v>
      </c>
      <c r="C337" s="4" t="s">
        <v>343</v>
      </c>
      <c r="D337" s="5">
        <v>8.6199999999999999E-2</v>
      </c>
      <c r="E337" s="4">
        <v>1</v>
      </c>
      <c r="F337" s="4">
        <v>1</v>
      </c>
      <c r="G337" s="6">
        <v>2000</v>
      </c>
      <c r="H337" s="4">
        <v>72</v>
      </c>
      <c r="I337" s="4">
        <v>-68</v>
      </c>
      <c r="J337" s="4">
        <v>-228</v>
      </c>
    </row>
    <row r="338" spans="2:10">
      <c r="B338" s="4">
        <v>2636</v>
      </c>
      <c r="C338" s="4" t="s">
        <v>344</v>
      </c>
      <c r="D338" s="5">
        <v>3.1099999999999999E-2</v>
      </c>
      <c r="E338" s="4">
        <v>2.6</v>
      </c>
      <c r="F338" s="4">
        <v>0.6</v>
      </c>
      <c r="G338" s="6">
        <v>3200</v>
      </c>
      <c r="H338" s="4">
        <v>-60</v>
      </c>
      <c r="I338" s="4">
        <v>-284</v>
      </c>
      <c r="J338" s="4">
        <v>-540</v>
      </c>
    </row>
    <row r="339" spans="2:10">
      <c r="B339" s="4">
        <v>2637</v>
      </c>
      <c r="C339" s="4" t="s">
        <v>345</v>
      </c>
      <c r="D339" s="5">
        <v>0</v>
      </c>
      <c r="E339" s="4">
        <v>1.5</v>
      </c>
      <c r="F339" s="4">
        <v>1</v>
      </c>
      <c r="G339" s="6">
        <v>2500</v>
      </c>
      <c r="H339" s="4">
        <v>-125</v>
      </c>
      <c r="I339" s="4">
        <v>-300</v>
      </c>
      <c r="J339" s="4">
        <v>-500</v>
      </c>
    </row>
    <row r="340" spans="2:10">
      <c r="B340" s="4">
        <v>2701</v>
      </c>
      <c r="C340" s="4" t="s">
        <v>346</v>
      </c>
      <c r="D340" s="5">
        <v>0.16669999999999999</v>
      </c>
      <c r="E340" s="4">
        <v>0.1</v>
      </c>
      <c r="F340" s="4">
        <v>0.5</v>
      </c>
      <c r="G340" s="4">
        <v>600</v>
      </c>
      <c r="H340" s="4">
        <v>70</v>
      </c>
      <c r="I340" s="4">
        <v>28</v>
      </c>
      <c r="J340" s="4">
        <v>-20</v>
      </c>
    </row>
    <row r="341" spans="2:10">
      <c r="B341" s="4">
        <v>2702</v>
      </c>
      <c r="C341" s="4" t="s">
        <v>347</v>
      </c>
      <c r="D341" s="5">
        <v>5.3400000000000003E-2</v>
      </c>
      <c r="E341" s="4">
        <v>0.2147</v>
      </c>
      <c r="F341" s="4">
        <v>0.6</v>
      </c>
      <c r="G341" s="4">
        <v>815</v>
      </c>
      <c r="H341" s="4">
        <v>3</v>
      </c>
      <c r="I341" s="4">
        <v>-54</v>
      </c>
      <c r="J341" s="4">
        <v>-119</v>
      </c>
    </row>
    <row r="342" spans="2:10">
      <c r="B342" s="4">
        <v>2704</v>
      </c>
      <c r="C342" s="4" t="s">
        <v>348</v>
      </c>
      <c r="D342" s="5">
        <v>0.2676</v>
      </c>
      <c r="E342" s="4">
        <v>0.4</v>
      </c>
      <c r="F342" s="4">
        <v>0</v>
      </c>
      <c r="G342" s="4">
        <v>400</v>
      </c>
      <c r="H342" s="4">
        <v>87</v>
      </c>
      <c r="I342" s="4">
        <v>59</v>
      </c>
      <c r="J342" s="4">
        <v>27</v>
      </c>
    </row>
    <row r="343" spans="2:10">
      <c r="B343" s="4">
        <v>2706</v>
      </c>
      <c r="C343" s="4" t="s">
        <v>349</v>
      </c>
      <c r="D343" s="5">
        <v>0.15859999999999999</v>
      </c>
      <c r="E343" s="4">
        <v>0.1</v>
      </c>
      <c r="F343" s="4">
        <v>0.8</v>
      </c>
      <c r="G343" s="4">
        <v>900</v>
      </c>
      <c r="H343" s="4">
        <v>98</v>
      </c>
      <c r="I343" s="4">
        <v>35</v>
      </c>
      <c r="J343" s="4">
        <v>-37</v>
      </c>
    </row>
    <row r="344" spans="2:10">
      <c r="B344" s="4">
        <v>2707</v>
      </c>
      <c r="C344" s="4" t="s">
        <v>350</v>
      </c>
      <c r="D344" s="5">
        <v>0.33339999999999997</v>
      </c>
      <c r="E344" s="4">
        <v>9.4420000000000002</v>
      </c>
      <c r="F344" s="4">
        <v>1</v>
      </c>
      <c r="G344" s="6">
        <v>10442</v>
      </c>
      <c r="H344" s="4">
        <v>2959</v>
      </c>
      <c r="I344" s="4">
        <v>2228</v>
      </c>
      <c r="J344" s="4">
        <v>1393</v>
      </c>
    </row>
    <row r="345" spans="2:10">
      <c r="B345" s="4">
        <v>2718</v>
      </c>
      <c r="C345" s="4" t="s">
        <v>351</v>
      </c>
      <c r="D345" s="5">
        <v>0.3044</v>
      </c>
      <c r="E345" s="4">
        <v>1</v>
      </c>
      <c r="F345" s="4">
        <v>0</v>
      </c>
      <c r="G345" s="6">
        <v>1000</v>
      </c>
      <c r="H345" s="4">
        <v>254</v>
      </c>
      <c r="I345" s="4">
        <v>184</v>
      </c>
      <c r="J345" s="4">
        <v>104</v>
      </c>
    </row>
    <row r="346" spans="2:10">
      <c r="B346" s="4">
        <v>2723</v>
      </c>
      <c r="C346" s="4" t="s">
        <v>352</v>
      </c>
      <c r="D346" s="5">
        <v>0</v>
      </c>
      <c r="E346" s="4">
        <v>3.5</v>
      </c>
      <c r="F346" s="4">
        <v>0.5</v>
      </c>
      <c r="G346" s="6">
        <v>4000</v>
      </c>
      <c r="H346" s="4">
        <v>-200</v>
      </c>
      <c r="I346" s="4">
        <v>-480</v>
      </c>
      <c r="J346" s="4">
        <v>-800</v>
      </c>
    </row>
    <row r="347" spans="2:10">
      <c r="B347" s="4">
        <v>2801</v>
      </c>
      <c r="C347" s="4" t="s">
        <v>353</v>
      </c>
      <c r="D347" s="5">
        <v>1.9599999999999999E-2</v>
      </c>
      <c r="E347" s="4">
        <v>0.9</v>
      </c>
      <c r="F347" s="4">
        <v>0</v>
      </c>
      <c r="G347" s="4">
        <v>900</v>
      </c>
      <c r="H347" s="4">
        <v>-27</v>
      </c>
      <c r="I347" s="4">
        <v>-90</v>
      </c>
      <c r="J347" s="4">
        <v>-162</v>
      </c>
    </row>
    <row r="348" spans="2:10">
      <c r="B348" s="4">
        <v>2812</v>
      </c>
      <c r="C348" s="4" t="s">
        <v>354</v>
      </c>
      <c r="D348" s="5">
        <v>0.20480000000000001</v>
      </c>
      <c r="E348" s="4">
        <v>0</v>
      </c>
      <c r="F348" s="4">
        <v>0.3</v>
      </c>
      <c r="G348" s="4">
        <v>300</v>
      </c>
      <c r="H348" s="4">
        <v>46</v>
      </c>
      <c r="I348" s="4">
        <v>25</v>
      </c>
      <c r="J348" s="4">
        <v>1</v>
      </c>
    </row>
    <row r="349" spans="2:10">
      <c r="B349" s="4">
        <v>2820</v>
      </c>
      <c r="C349" s="4" t="s">
        <v>355</v>
      </c>
      <c r="D349" s="5">
        <v>2.0000000000000001E-4</v>
      </c>
      <c r="E349" s="4">
        <v>0.81</v>
      </c>
      <c r="F349" s="4">
        <v>0</v>
      </c>
      <c r="G349" s="4">
        <v>810</v>
      </c>
      <c r="H349" s="4">
        <v>-40</v>
      </c>
      <c r="I349" s="4">
        <v>-97</v>
      </c>
      <c r="J349" s="4">
        <v>-162</v>
      </c>
    </row>
    <row r="350" spans="2:10">
      <c r="B350" s="4">
        <v>2823</v>
      </c>
      <c r="C350" s="4" t="s">
        <v>356</v>
      </c>
      <c r="D350" s="5">
        <v>9.5799999999999996E-2</v>
      </c>
      <c r="E350" s="4">
        <v>0.82289999999999996</v>
      </c>
      <c r="F350" s="4">
        <v>1.1168</v>
      </c>
      <c r="G350" s="6">
        <v>1940</v>
      </c>
      <c r="H350" s="4">
        <v>89</v>
      </c>
      <c r="I350" s="4">
        <v>-47</v>
      </c>
      <c r="J350" s="4">
        <v>-202</v>
      </c>
    </row>
    <row r="351" spans="2:10">
      <c r="B351" s="4">
        <v>2832</v>
      </c>
      <c r="C351" s="4" t="s">
        <v>357</v>
      </c>
      <c r="D351" s="5">
        <v>3.1E-2</v>
      </c>
      <c r="E351" s="4">
        <v>2</v>
      </c>
      <c r="F351" s="4">
        <v>0</v>
      </c>
      <c r="G351" s="6">
        <v>2000</v>
      </c>
      <c r="H351" s="4">
        <v>-38</v>
      </c>
      <c r="I351" s="4">
        <v>-178</v>
      </c>
      <c r="J351" s="4">
        <v>-338</v>
      </c>
    </row>
    <row r="352" spans="2:10">
      <c r="B352" s="4">
        <v>2833</v>
      </c>
      <c r="C352" s="4" t="s">
        <v>358</v>
      </c>
      <c r="D352" s="5">
        <v>0.12770000000000001</v>
      </c>
      <c r="E352" s="4">
        <v>1</v>
      </c>
      <c r="F352" s="4">
        <v>0.5</v>
      </c>
      <c r="G352" s="6">
        <v>1500</v>
      </c>
      <c r="H352" s="4">
        <v>117</v>
      </c>
      <c r="I352" s="4">
        <v>12</v>
      </c>
      <c r="J352" s="4">
        <v>-108</v>
      </c>
    </row>
    <row r="353" spans="2:10">
      <c r="B353" s="4">
        <v>2834</v>
      </c>
      <c r="C353" s="4" t="s">
        <v>359</v>
      </c>
      <c r="D353" s="5">
        <v>0.1709</v>
      </c>
      <c r="E353" s="4">
        <v>0</v>
      </c>
      <c r="F353" s="4">
        <v>0.45</v>
      </c>
      <c r="G353" s="4">
        <v>450</v>
      </c>
      <c r="H353" s="4">
        <v>54</v>
      </c>
      <c r="I353" s="4">
        <v>23</v>
      </c>
      <c r="J353" s="4">
        <v>-13</v>
      </c>
    </row>
    <row r="354" spans="2:10">
      <c r="B354" s="4">
        <v>2836</v>
      </c>
      <c r="C354" s="4" t="s">
        <v>360</v>
      </c>
      <c r="D354" s="5">
        <v>0.25540000000000002</v>
      </c>
      <c r="E354" s="4">
        <v>0.02</v>
      </c>
      <c r="F354" s="4">
        <v>1.1499999999999999</v>
      </c>
      <c r="G354" s="6">
        <v>1170</v>
      </c>
      <c r="H354" s="4">
        <v>240</v>
      </c>
      <c r="I354" s="4">
        <v>158</v>
      </c>
      <c r="J354" s="4">
        <v>65</v>
      </c>
    </row>
    <row r="355" spans="2:10">
      <c r="B355" s="4">
        <v>2841</v>
      </c>
      <c r="C355" s="4" t="s">
        <v>361</v>
      </c>
      <c r="D355" s="5">
        <v>0.25059999999999999</v>
      </c>
      <c r="E355" s="4">
        <v>0</v>
      </c>
      <c r="F355" s="4">
        <v>1.45</v>
      </c>
      <c r="G355" s="6">
        <v>1450</v>
      </c>
      <c r="H355" s="4">
        <v>291</v>
      </c>
      <c r="I355" s="4">
        <v>189</v>
      </c>
      <c r="J355" s="4">
        <v>73</v>
      </c>
    </row>
    <row r="356" spans="2:10">
      <c r="B356" s="4">
        <v>2845</v>
      </c>
      <c r="C356" s="4" t="s">
        <v>362</v>
      </c>
      <c r="D356" s="5">
        <v>0.1197</v>
      </c>
      <c r="E356" s="4">
        <v>0.25</v>
      </c>
      <c r="F356" s="4">
        <v>0.51500000000000001</v>
      </c>
      <c r="G356" s="4">
        <v>765</v>
      </c>
      <c r="H356" s="4">
        <v>53</v>
      </c>
      <c r="I356" s="4">
        <v>0</v>
      </c>
      <c r="J356" s="4">
        <v>-61</v>
      </c>
    </row>
    <row r="357" spans="2:10">
      <c r="B357" s="4">
        <v>2849</v>
      </c>
      <c r="C357" s="4" t="s">
        <v>363</v>
      </c>
      <c r="D357" s="5">
        <v>0.15310000000000001</v>
      </c>
      <c r="E357" s="4">
        <v>0.6</v>
      </c>
      <c r="F357" s="4">
        <v>0</v>
      </c>
      <c r="G357" s="4">
        <v>600</v>
      </c>
      <c r="H357" s="4">
        <v>62</v>
      </c>
      <c r="I357" s="4">
        <v>20</v>
      </c>
      <c r="J357" s="4">
        <v>-28</v>
      </c>
    </row>
    <row r="358" spans="2:10">
      <c r="B358" s="4">
        <v>2850</v>
      </c>
      <c r="C358" s="4" t="s">
        <v>364</v>
      </c>
      <c r="D358" s="5">
        <v>6.3E-2</v>
      </c>
      <c r="E358" s="4">
        <v>1.5</v>
      </c>
      <c r="F358" s="4">
        <v>0</v>
      </c>
      <c r="G358" s="6">
        <v>1500</v>
      </c>
      <c r="H358" s="4">
        <v>20</v>
      </c>
      <c r="I358" s="4">
        <v>-86</v>
      </c>
      <c r="J358" s="4">
        <v>-206</v>
      </c>
    </row>
    <row r="359" spans="2:10">
      <c r="B359" s="4">
        <v>2851</v>
      </c>
      <c r="C359" s="4" t="s">
        <v>365</v>
      </c>
      <c r="D359" s="5">
        <v>0.29310000000000003</v>
      </c>
      <c r="E359" s="4">
        <v>1</v>
      </c>
      <c r="F359" s="4">
        <v>0</v>
      </c>
      <c r="G359" s="6">
        <v>1000</v>
      </c>
      <c r="H359" s="4">
        <v>243</v>
      </c>
      <c r="I359" s="4">
        <v>173</v>
      </c>
      <c r="J359" s="4">
        <v>93</v>
      </c>
    </row>
    <row r="360" spans="2:10">
      <c r="B360" s="4">
        <v>2852</v>
      </c>
      <c r="C360" s="4" t="s">
        <v>366</v>
      </c>
      <c r="D360" s="5">
        <v>0.20569999999999999</v>
      </c>
      <c r="E360" s="4">
        <v>2</v>
      </c>
      <c r="F360" s="4">
        <v>0</v>
      </c>
      <c r="G360" s="6">
        <v>2000</v>
      </c>
      <c r="H360" s="4">
        <v>311</v>
      </c>
      <c r="I360" s="4">
        <v>171</v>
      </c>
      <c r="J360" s="4">
        <v>11</v>
      </c>
    </row>
    <row r="361" spans="2:10">
      <c r="B361" s="4">
        <v>2854</v>
      </c>
      <c r="C361" s="4" t="s">
        <v>367</v>
      </c>
      <c r="D361" s="5">
        <v>0.20499999999999999</v>
      </c>
      <c r="E361" s="4">
        <v>0.65</v>
      </c>
      <c r="F361" s="4">
        <v>0</v>
      </c>
      <c r="G361" s="4">
        <v>650</v>
      </c>
      <c r="H361" s="4">
        <v>101</v>
      </c>
      <c r="I361" s="4">
        <v>55</v>
      </c>
      <c r="J361" s="4">
        <v>3</v>
      </c>
    </row>
    <row r="362" spans="2:10">
      <c r="B362" s="4">
        <v>2855</v>
      </c>
      <c r="C362" s="4" t="s">
        <v>368</v>
      </c>
      <c r="D362" s="5">
        <v>0.20630000000000001</v>
      </c>
      <c r="E362" s="4">
        <v>0.47</v>
      </c>
      <c r="F362" s="4">
        <v>0.6</v>
      </c>
      <c r="G362" s="6">
        <v>1070</v>
      </c>
      <c r="H362" s="4">
        <v>167</v>
      </c>
      <c r="I362" s="4">
        <v>92</v>
      </c>
      <c r="J362" s="4">
        <v>7</v>
      </c>
    </row>
    <row r="363" spans="2:10">
      <c r="B363" s="4">
        <v>2856</v>
      </c>
      <c r="C363" s="4" t="s">
        <v>369</v>
      </c>
      <c r="D363" s="5">
        <v>0.21329999999999999</v>
      </c>
      <c r="E363" s="4">
        <v>0.7</v>
      </c>
      <c r="F363" s="4">
        <v>0</v>
      </c>
      <c r="G363" s="4">
        <v>700</v>
      </c>
      <c r="H363" s="4">
        <v>114</v>
      </c>
      <c r="I363" s="4">
        <v>65</v>
      </c>
      <c r="J363" s="4">
        <v>9</v>
      </c>
    </row>
    <row r="364" spans="2:10">
      <c r="B364" s="4">
        <v>2880</v>
      </c>
      <c r="C364" s="4" t="s">
        <v>370</v>
      </c>
      <c r="D364" s="5">
        <v>3.5900000000000001E-2</v>
      </c>
      <c r="E364" s="4">
        <v>0.3</v>
      </c>
      <c r="F364" s="4">
        <v>0.6</v>
      </c>
      <c r="G364" s="4">
        <v>900</v>
      </c>
      <c r="H364" s="4">
        <v>-13</v>
      </c>
      <c r="I364" s="4">
        <v>-76</v>
      </c>
      <c r="J364" s="4">
        <v>-148</v>
      </c>
    </row>
    <row r="365" spans="2:10">
      <c r="B365" s="4">
        <v>2881</v>
      </c>
      <c r="C365" s="4" t="s">
        <v>371</v>
      </c>
      <c r="D365" s="5">
        <v>7.8899999999999998E-2</v>
      </c>
      <c r="E365" s="4">
        <v>1</v>
      </c>
      <c r="F365" s="4">
        <v>0.5</v>
      </c>
      <c r="G365" s="6">
        <v>1500</v>
      </c>
      <c r="H365" s="4">
        <v>43</v>
      </c>
      <c r="I365" s="4">
        <v>-62</v>
      </c>
      <c r="J365" s="4">
        <v>-182</v>
      </c>
    </row>
    <row r="366" spans="2:10">
      <c r="B366" s="4">
        <v>2882</v>
      </c>
      <c r="C366" s="4" t="s">
        <v>372</v>
      </c>
      <c r="D366" s="5">
        <v>4.6699999999999998E-2</v>
      </c>
      <c r="E366" s="4">
        <v>0.6</v>
      </c>
      <c r="F366" s="4">
        <v>0.2</v>
      </c>
      <c r="G366" s="4">
        <v>800</v>
      </c>
      <c r="H366" s="4">
        <v>-3</v>
      </c>
      <c r="I366" s="4">
        <v>-59</v>
      </c>
      <c r="J366" s="4">
        <v>-123</v>
      </c>
    </row>
    <row r="367" spans="2:10">
      <c r="B367" s="4">
        <v>2883</v>
      </c>
      <c r="C367" s="4" t="s">
        <v>373</v>
      </c>
      <c r="D367" s="5">
        <v>1.0500000000000001E-2</v>
      </c>
      <c r="E367" s="4">
        <v>0.6</v>
      </c>
      <c r="F367" s="4">
        <v>0.1</v>
      </c>
      <c r="G367" s="4">
        <v>700</v>
      </c>
      <c r="H367" s="4">
        <v>-28</v>
      </c>
      <c r="I367" s="4">
        <v>-77</v>
      </c>
      <c r="J367" s="4">
        <v>-133</v>
      </c>
    </row>
    <row r="368" spans="2:10">
      <c r="B368" s="4">
        <v>2884</v>
      </c>
      <c r="C368" s="4" t="s">
        <v>374</v>
      </c>
      <c r="D368" s="5">
        <v>1.17E-2</v>
      </c>
      <c r="E368" s="4">
        <v>0.2</v>
      </c>
      <c r="F368" s="4">
        <v>0.7</v>
      </c>
      <c r="G368" s="4">
        <v>900</v>
      </c>
      <c r="H368" s="4">
        <v>-34</v>
      </c>
      <c r="I368" s="4">
        <v>-97</v>
      </c>
      <c r="J368" s="4">
        <v>-169</v>
      </c>
    </row>
    <row r="369" spans="2:10">
      <c r="B369" s="4">
        <v>2885</v>
      </c>
      <c r="C369" s="4" t="s">
        <v>375</v>
      </c>
      <c r="D369" s="5">
        <v>0.24790000000000001</v>
      </c>
      <c r="E369" s="4">
        <v>0</v>
      </c>
      <c r="F369" s="4">
        <v>0.92</v>
      </c>
      <c r="G369" s="4">
        <v>920</v>
      </c>
      <c r="H369" s="4">
        <v>182</v>
      </c>
      <c r="I369" s="4">
        <v>118</v>
      </c>
      <c r="J369" s="4">
        <v>44</v>
      </c>
    </row>
    <row r="370" spans="2:10">
      <c r="B370" s="4">
        <v>2886</v>
      </c>
      <c r="C370" s="4" t="s">
        <v>376</v>
      </c>
      <c r="D370" s="5">
        <v>3.6200000000000003E-2</v>
      </c>
      <c r="E370" s="4">
        <v>0.9</v>
      </c>
      <c r="F370" s="4">
        <v>0.2</v>
      </c>
      <c r="G370" s="6">
        <v>1100</v>
      </c>
      <c r="H370" s="4">
        <v>-15</v>
      </c>
      <c r="I370" s="4">
        <v>-92</v>
      </c>
      <c r="J370" s="4">
        <v>-180</v>
      </c>
    </row>
    <row r="371" spans="2:10">
      <c r="B371" s="4">
        <v>2887</v>
      </c>
      <c r="C371" s="4" t="s">
        <v>377</v>
      </c>
      <c r="D371" s="5">
        <v>1.0999999999999999E-2</v>
      </c>
      <c r="E371" s="4">
        <v>0.23</v>
      </c>
      <c r="F371" s="4">
        <v>0.7</v>
      </c>
      <c r="G371" s="4">
        <v>930</v>
      </c>
      <c r="H371" s="4">
        <v>-36</v>
      </c>
      <c r="I371" s="4">
        <v>-101</v>
      </c>
      <c r="J371" s="4">
        <v>-176</v>
      </c>
    </row>
    <row r="372" spans="2:10">
      <c r="B372" s="4">
        <v>2889</v>
      </c>
      <c r="C372" s="4" t="s">
        <v>378</v>
      </c>
      <c r="D372" s="5">
        <v>2.8E-3</v>
      </c>
      <c r="E372" s="4">
        <v>0.4</v>
      </c>
      <c r="F372" s="4">
        <v>0.52</v>
      </c>
      <c r="G372" s="4">
        <v>920</v>
      </c>
      <c r="H372" s="4">
        <v>-43</v>
      </c>
      <c r="I372" s="4">
        <v>-108</v>
      </c>
      <c r="J372" s="4">
        <v>-181</v>
      </c>
    </row>
    <row r="373" spans="2:10">
      <c r="B373" s="4">
        <v>2890</v>
      </c>
      <c r="C373" s="4" t="s">
        <v>379</v>
      </c>
      <c r="D373" s="5">
        <v>0.20480000000000001</v>
      </c>
      <c r="E373" s="4">
        <v>0.15024000000000001</v>
      </c>
      <c r="F373" s="4">
        <v>0.43</v>
      </c>
      <c r="G373" s="4">
        <v>580</v>
      </c>
      <c r="H373" s="4">
        <v>90</v>
      </c>
      <c r="I373" s="4">
        <v>49</v>
      </c>
      <c r="J373" s="4">
        <v>3</v>
      </c>
    </row>
    <row r="374" spans="2:10">
      <c r="B374" s="4">
        <v>2891</v>
      </c>
      <c r="C374" s="4" t="s">
        <v>380</v>
      </c>
      <c r="D374" s="5">
        <v>0</v>
      </c>
      <c r="E374" s="4">
        <v>0.73</v>
      </c>
      <c r="F374" s="4">
        <v>0.72</v>
      </c>
      <c r="G374" s="6">
        <v>1450</v>
      </c>
      <c r="H374" s="4">
        <v>-73</v>
      </c>
      <c r="I374" s="4">
        <v>-174</v>
      </c>
      <c r="J374" s="4">
        <v>-290</v>
      </c>
    </row>
    <row r="375" spans="2:10">
      <c r="B375" s="4">
        <v>2892</v>
      </c>
      <c r="C375" s="4" t="s">
        <v>381</v>
      </c>
      <c r="D375" s="5">
        <v>8.3000000000000004E-2</v>
      </c>
      <c r="E375" s="4">
        <v>0.3</v>
      </c>
      <c r="F375" s="4">
        <v>0.6</v>
      </c>
      <c r="G375" s="4">
        <v>900</v>
      </c>
      <c r="H375" s="4">
        <v>30</v>
      </c>
      <c r="I375" s="4">
        <v>-33</v>
      </c>
      <c r="J375" s="4">
        <v>-105</v>
      </c>
    </row>
    <row r="376" spans="2:10">
      <c r="B376" s="4">
        <v>2901</v>
      </c>
      <c r="C376" s="4" t="s">
        <v>382</v>
      </c>
      <c r="D376" s="5">
        <v>0.20480000000000001</v>
      </c>
      <c r="E376" s="4">
        <v>0.26618999999999998</v>
      </c>
      <c r="F376" s="4">
        <v>0</v>
      </c>
      <c r="G376" s="4">
        <v>266</v>
      </c>
      <c r="H376" s="4">
        <v>41</v>
      </c>
      <c r="I376" s="4">
        <v>23</v>
      </c>
      <c r="J376" s="4">
        <v>1</v>
      </c>
    </row>
    <row r="377" spans="2:10">
      <c r="B377" s="4">
        <v>2903</v>
      </c>
      <c r="C377" s="4" t="s">
        <v>383</v>
      </c>
      <c r="D377" s="5">
        <v>0.1047</v>
      </c>
      <c r="E377" s="4">
        <v>1</v>
      </c>
      <c r="F377" s="4">
        <v>0.6</v>
      </c>
      <c r="G377" s="6">
        <v>1600</v>
      </c>
      <c r="H377" s="4">
        <v>88</v>
      </c>
      <c r="I377" s="4">
        <v>-24</v>
      </c>
      <c r="J377" s="4">
        <v>-152</v>
      </c>
    </row>
    <row r="378" spans="2:10">
      <c r="B378" s="4">
        <v>2904</v>
      </c>
      <c r="C378" s="4" t="s">
        <v>384</v>
      </c>
      <c r="D378" s="5">
        <v>0.21759999999999999</v>
      </c>
      <c r="E378" s="4">
        <v>1.1499999999999999</v>
      </c>
      <c r="F378" s="4">
        <v>0</v>
      </c>
      <c r="G378" s="6">
        <v>1150</v>
      </c>
      <c r="H378" s="4">
        <v>193</v>
      </c>
      <c r="I378" s="4">
        <v>112</v>
      </c>
      <c r="J378" s="4">
        <v>20</v>
      </c>
    </row>
    <row r="379" spans="2:10">
      <c r="B379" s="4">
        <v>2905</v>
      </c>
      <c r="C379" s="4" t="s">
        <v>385</v>
      </c>
      <c r="D379" s="5">
        <v>0.17910000000000001</v>
      </c>
      <c r="E379" s="4">
        <v>0.6</v>
      </c>
      <c r="F379" s="4">
        <v>0.6</v>
      </c>
      <c r="G379" s="6">
        <v>1200</v>
      </c>
      <c r="H379" s="4">
        <v>155</v>
      </c>
      <c r="I379" s="4">
        <v>71</v>
      </c>
      <c r="J379" s="4">
        <v>-25</v>
      </c>
    </row>
    <row r="380" spans="2:10">
      <c r="B380" s="4">
        <v>2906</v>
      </c>
      <c r="C380" s="4" t="s">
        <v>386</v>
      </c>
      <c r="D380" s="5">
        <v>0.20480000000000001</v>
      </c>
      <c r="E380" s="4">
        <v>0.66</v>
      </c>
      <c r="F380" s="4">
        <v>0.34</v>
      </c>
      <c r="G380" s="6">
        <v>1000</v>
      </c>
      <c r="H380" s="4">
        <v>155</v>
      </c>
      <c r="I380" s="4">
        <v>85</v>
      </c>
      <c r="J380" s="4">
        <v>5</v>
      </c>
    </row>
    <row r="381" spans="2:10">
      <c r="B381" s="4">
        <v>2908</v>
      </c>
      <c r="C381" s="4" t="s">
        <v>387</v>
      </c>
      <c r="D381" s="5">
        <v>0.20480000000000001</v>
      </c>
      <c r="E381" s="4">
        <v>0.66500000000000004</v>
      </c>
      <c r="F381" s="4">
        <v>0</v>
      </c>
      <c r="G381" s="4">
        <v>665</v>
      </c>
      <c r="H381" s="4">
        <v>103</v>
      </c>
      <c r="I381" s="4">
        <v>56</v>
      </c>
      <c r="J381" s="4">
        <v>3</v>
      </c>
    </row>
    <row r="382" spans="2:10">
      <c r="B382" s="4">
        <v>2910</v>
      </c>
      <c r="C382" s="4" t="s">
        <v>388</v>
      </c>
      <c r="D382" s="5">
        <v>0.10730000000000001</v>
      </c>
      <c r="E382" s="4">
        <v>0.8</v>
      </c>
      <c r="F382" s="4">
        <v>0</v>
      </c>
      <c r="G382" s="4">
        <v>800</v>
      </c>
      <c r="H382" s="4">
        <v>46</v>
      </c>
      <c r="I382" s="4">
        <v>-10</v>
      </c>
      <c r="J382" s="4">
        <v>-74</v>
      </c>
    </row>
    <row r="383" spans="2:10">
      <c r="B383" s="4">
        <v>2911</v>
      </c>
      <c r="C383" s="4" t="s">
        <v>389</v>
      </c>
      <c r="D383" s="5">
        <v>2.8500000000000001E-2</v>
      </c>
      <c r="E383" s="4">
        <v>1</v>
      </c>
      <c r="F383" s="4">
        <v>0.4</v>
      </c>
      <c r="G383" s="6">
        <v>1400</v>
      </c>
      <c r="H383" s="4">
        <v>-30</v>
      </c>
      <c r="I383" s="4">
        <v>-128</v>
      </c>
      <c r="J383" s="4">
        <v>-240</v>
      </c>
    </row>
    <row r="384" spans="2:10">
      <c r="B384" s="4">
        <v>2912</v>
      </c>
      <c r="C384" s="4" t="s">
        <v>390</v>
      </c>
      <c r="D384" s="5">
        <v>2.3099999999999999E-2</v>
      </c>
      <c r="E384" s="4">
        <v>4.9000000000000004</v>
      </c>
      <c r="F384" s="4">
        <v>0</v>
      </c>
      <c r="G384" s="6">
        <v>4900</v>
      </c>
      <c r="H384" s="4">
        <v>-132</v>
      </c>
      <c r="I384" s="4">
        <v>-475</v>
      </c>
      <c r="J384" s="4">
        <v>-867</v>
      </c>
    </row>
    <row r="385" spans="2:10">
      <c r="B385" s="4">
        <v>2913</v>
      </c>
      <c r="C385" s="4" t="s">
        <v>391</v>
      </c>
      <c r="D385" s="5">
        <v>0.17580000000000001</v>
      </c>
      <c r="E385" s="4">
        <v>0.2</v>
      </c>
      <c r="F385" s="4">
        <v>0</v>
      </c>
      <c r="G385" s="4">
        <v>200</v>
      </c>
      <c r="H385" s="4">
        <v>25</v>
      </c>
      <c r="I385" s="4">
        <v>11</v>
      </c>
      <c r="J385" s="4">
        <v>-5</v>
      </c>
    </row>
    <row r="386" spans="2:10">
      <c r="B386" s="4">
        <v>2915</v>
      </c>
      <c r="C386" s="4" t="s">
        <v>392</v>
      </c>
      <c r="D386" s="5">
        <v>3.5000000000000001E-3</v>
      </c>
      <c r="E386" s="4">
        <v>1.3</v>
      </c>
      <c r="F386" s="4">
        <v>0</v>
      </c>
      <c r="G386" s="6">
        <v>1300</v>
      </c>
      <c r="H386" s="4">
        <v>-60</v>
      </c>
      <c r="I386" s="4">
        <v>-151</v>
      </c>
      <c r="J386" s="4">
        <v>-255</v>
      </c>
    </row>
    <row r="387" spans="2:10">
      <c r="B387" s="4">
        <v>2916</v>
      </c>
      <c r="C387" s="4" t="s">
        <v>393</v>
      </c>
      <c r="D387" s="5">
        <v>0.2228</v>
      </c>
      <c r="E387" s="4">
        <v>2</v>
      </c>
      <c r="F387" s="4">
        <v>0</v>
      </c>
      <c r="G387" s="6">
        <v>2000</v>
      </c>
      <c r="H387" s="4">
        <v>346</v>
      </c>
      <c r="I387" s="4">
        <v>206</v>
      </c>
      <c r="J387" s="4">
        <v>46</v>
      </c>
    </row>
    <row r="388" spans="2:10">
      <c r="B388" s="4">
        <v>3002</v>
      </c>
      <c r="C388" s="4" t="s">
        <v>394</v>
      </c>
      <c r="D388" s="5">
        <v>7.5700000000000003E-2</v>
      </c>
      <c r="E388" s="4">
        <v>0.6</v>
      </c>
      <c r="F388" s="4">
        <v>0</v>
      </c>
      <c r="G388" s="4">
        <v>600</v>
      </c>
      <c r="H388" s="4">
        <v>15</v>
      </c>
      <c r="I388" s="4">
        <v>-27</v>
      </c>
      <c r="J388" s="4">
        <v>-75</v>
      </c>
    </row>
    <row r="389" spans="2:10">
      <c r="B389" s="4">
        <v>3003</v>
      </c>
      <c r="C389" s="4" t="s">
        <v>395</v>
      </c>
      <c r="D389" s="5">
        <v>0.1797</v>
      </c>
      <c r="E389" s="4">
        <v>0.2</v>
      </c>
      <c r="F389" s="4">
        <v>0.8</v>
      </c>
      <c r="G389" s="6">
        <v>1000</v>
      </c>
      <c r="H389" s="4">
        <v>130</v>
      </c>
      <c r="I389" s="4">
        <v>60</v>
      </c>
      <c r="J389" s="4">
        <v>-20</v>
      </c>
    </row>
    <row r="390" spans="2:10">
      <c r="B390" s="4">
        <v>3005</v>
      </c>
      <c r="C390" s="4" t="s">
        <v>396</v>
      </c>
      <c r="D390" s="5">
        <v>0.09</v>
      </c>
      <c r="E390" s="4">
        <v>0.4</v>
      </c>
      <c r="F390" s="4">
        <v>0</v>
      </c>
      <c r="G390" s="4">
        <v>400</v>
      </c>
      <c r="H390" s="4">
        <v>16</v>
      </c>
      <c r="I390" s="4">
        <v>-12</v>
      </c>
      <c r="J390" s="4">
        <v>-44</v>
      </c>
    </row>
    <row r="391" spans="2:10">
      <c r="B391" s="4">
        <v>3006</v>
      </c>
      <c r="C391" s="4" t="s">
        <v>397</v>
      </c>
      <c r="D391" s="5">
        <v>0.1173</v>
      </c>
      <c r="E391" s="4">
        <v>1.0049999999999999</v>
      </c>
      <c r="F391" s="4">
        <v>0</v>
      </c>
      <c r="G391" s="6">
        <v>1005</v>
      </c>
      <c r="H391" s="4">
        <v>68</v>
      </c>
      <c r="I391" s="4">
        <v>-3</v>
      </c>
      <c r="J391" s="4">
        <v>-83</v>
      </c>
    </row>
    <row r="392" spans="2:10">
      <c r="B392" s="4">
        <v>3008</v>
      </c>
      <c r="C392" s="4" t="s">
        <v>398</v>
      </c>
      <c r="D392" s="5">
        <v>4.5699999999999998E-2</v>
      </c>
      <c r="E392" s="4">
        <v>13.5</v>
      </c>
      <c r="F392" s="4">
        <v>0</v>
      </c>
      <c r="G392" s="6">
        <v>13500</v>
      </c>
      <c r="H392" s="4">
        <v>-58</v>
      </c>
      <c r="I392" s="4">
        <v>-1003</v>
      </c>
      <c r="J392" s="4">
        <v>-2083</v>
      </c>
    </row>
    <row r="393" spans="2:10">
      <c r="B393" s="4">
        <v>3010</v>
      </c>
      <c r="C393" s="4" t="s">
        <v>399</v>
      </c>
      <c r="D393" s="5">
        <v>0.20380000000000001</v>
      </c>
      <c r="E393" s="4">
        <v>3.5</v>
      </c>
      <c r="F393" s="4">
        <v>0</v>
      </c>
      <c r="G393" s="6">
        <v>3500</v>
      </c>
      <c r="H393" s="4">
        <v>538</v>
      </c>
      <c r="I393" s="4">
        <v>293</v>
      </c>
      <c r="J393" s="4">
        <v>13</v>
      </c>
    </row>
    <row r="394" spans="2:10">
      <c r="B394" s="4">
        <v>3013</v>
      </c>
      <c r="C394" s="4" t="s">
        <v>400</v>
      </c>
      <c r="D394" s="5">
        <v>0.20480000000000001</v>
      </c>
      <c r="E394" s="4">
        <v>0.8</v>
      </c>
      <c r="F394" s="4">
        <v>0</v>
      </c>
      <c r="G394" s="4">
        <v>800</v>
      </c>
      <c r="H394" s="4">
        <v>124</v>
      </c>
      <c r="I394" s="4">
        <v>68</v>
      </c>
      <c r="J394" s="4">
        <v>4</v>
      </c>
    </row>
    <row r="395" spans="2:10">
      <c r="B395" s="4">
        <v>3014</v>
      </c>
      <c r="C395" s="4" t="s">
        <v>401</v>
      </c>
      <c r="D395" s="5">
        <v>1.26E-2</v>
      </c>
      <c r="E395" s="4">
        <v>1.5</v>
      </c>
      <c r="F395" s="4">
        <v>0</v>
      </c>
      <c r="G395" s="6">
        <v>1500</v>
      </c>
      <c r="H395" s="4">
        <v>-56</v>
      </c>
      <c r="I395" s="4">
        <v>-161</v>
      </c>
      <c r="J395" s="4">
        <v>-281</v>
      </c>
    </row>
    <row r="396" spans="2:10">
      <c r="B396" s="4">
        <v>3015</v>
      </c>
      <c r="C396" s="4" t="s">
        <v>402</v>
      </c>
      <c r="D396" s="5">
        <v>0.16070000000000001</v>
      </c>
      <c r="E396" s="4">
        <v>2.6</v>
      </c>
      <c r="F396" s="4">
        <v>0.1</v>
      </c>
      <c r="G396" s="6">
        <v>2700</v>
      </c>
      <c r="H396" s="4">
        <v>299</v>
      </c>
      <c r="I396" s="4">
        <v>110</v>
      </c>
      <c r="J396" s="4">
        <v>-106</v>
      </c>
    </row>
    <row r="397" spans="2:10">
      <c r="B397" s="4">
        <v>3016</v>
      </c>
      <c r="C397" s="4" t="s">
        <v>403</v>
      </c>
      <c r="D397" s="5">
        <v>4.3900000000000002E-2</v>
      </c>
      <c r="E397" s="4">
        <v>0.3</v>
      </c>
      <c r="F397" s="4">
        <v>0.3</v>
      </c>
      <c r="G397" s="4">
        <v>600</v>
      </c>
      <c r="H397" s="4">
        <v>-4</v>
      </c>
      <c r="I397" s="4">
        <v>-46</v>
      </c>
      <c r="J397" s="4">
        <v>-94</v>
      </c>
    </row>
    <row r="398" spans="2:10">
      <c r="B398" s="4">
        <v>3017</v>
      </c>
      <c r="C398" s="4" t="s">
        <v>404</v>
      </c>
      <c r="D398" s="5">
        <v>2.5100000000000001E-2</v>
      </c>
      <c r="E398" s="4">
        <v>1.25</v>
      </c>
      <c r="F398" s="4">
        <v>1</v>
      </c>
      <c r="G398" s="6">
        <v>2250</v>
      </c>
      <c r="H398" s="4">
        <v>-56</v>
      </c>
      <c r="I398" s="4">
        <v>-214</v>
      </c>
      <c r="J398" s="4">
        <v>-394</v>
      </c>
    </row>
    <row r="399" spans="2:10">
      <c r="B399" s="4">
        <v>3018</v>
      </c>
      <c r="C399" s="4" t="s">
        <v>405</v>
      </c>
      <c r="D399" s="5">
        <v>0</v>
      </c>
      <c r="E399" s="4">
        <v>0.3</v>
      </c>
      <c r="F399" s="4">
        <v>0</v>
      </c>
      <c r="G399" s="4">
        <v>300</v>
      </c>
      <c r="H399" s="4">
        <v>-15</v>
      </c>
      <c r="I399" s="4">
        <v>-36</v>
      </c>
      <c r="J399" s="4">
        <v>-60</v>
      </c>
    </row>
    <row r="400" spans="2:10">
      <c r="B400" s="4">
        <v>3022</v>
      </c>
      <c r="C400" s="4" t="s">
        <v>406</v>
      </c>
      <c r="D400" s="5">
        <v>6.4000000000000001E-2</v>
      </c>
      <c r="E400" s="4">
        <v>3</v>
      </c>
      <c r="F400" s="4">
        <v>0</v>
      </c>
      <c r="G400" s="6">
        <v>3000</v>
      </c>
      <c r="H400" s="4">
        <v>42</v>
      </c>
      <c r="I400" s="4">
        <v>-168</v>
      </c>
      <c r="J400" s="4">
        <v>-408</v>
      </c>
    </row>
    <row r="401" spans="2:10">
      <c r="B401" s="4">
        <v>3023</v>
      </c>
      <c r="C401" s="4" t="s">
        <v>407</v>
      </c>
      <c r="D401" s="5">
        <v>0.12720000000000001</v>
      </c>
      <c r="E401" s="4">
        <v>1.7</v>
      </c>
      <c r="F401" s="4">
        <v>0</v>
      </c>
      <c r="G401" s="6">
        <v>1700</v>
      </c>
      <c r="H401" s="4">
        <v>131</v>
      </c>
      <c r="I401" s="4">
        <v>12</v>
      </c>
      <c r="J401" s="4">
        <v>-124</v>
      </c>
    </row>
    <row r="402" spans="2:10">
      <c r="B402" s="4">
        <v>3024</v>
      </c>
      <c r="C402" s="4" t="s">
        <v>408</v>
      </c>
      <c r="D402" s="5">
        <v>9.4E-2</v>
      </c>
      <c r="E402" s="4">
        <v>0.1</v>
      </c>
      <c r="F402" s="4">
        <v>0.3</v>
      </c>
      <c r="G402" s="4">
        <v>400</v>
      </c>
      <c r="H402" s="4">
        <v>18</v>
      </c>
      <c r="I402" s="4">
        <v>-10</v>
      </c>
      <c r="J402" s="4">
        <v>-42</v>
      </c>
    </row>
    <row r="403" spans="2:10">
      <c r="B403" s="4">
        <v>3025</v>
      </c>
      <c r="C403" s="4" t="s">
        <v>409</v>
      </c>
      <c r="D403" s="5">
        <v>1.4500000000000001E-2</v>
      </c>
      <c r="E403" s="4">
        <v>0.6</v>
      </c>
      <c r="F403" s="4">
        <v>0</v>
      </c>
      <c r="G403" s="4">
        <v>600</v>
      </c>
      <c r="H403" s="4">
        <v>-21</v>
      </c>
      <c r="I403" s="4">
        <v>-63</v>
      </c>
      <c r="J403" s="4">
        <v>-111</v>
      </c>
    </row>
    <row r="404" spans="2:10">
      <c r="B404" s="4">
        <v>3026</v>
      </c>
      <c r="C404" s="4" t="s">
        <v>410</v>
      </c>
      <c r="D404" s="5">
        <v>0.1845</v>
      </c>
      <c r="E404" s="4">
        <v>2.2999999999999998</v>
      </c>
      <c r="F404" s="4">
        <v>0</v>
      </c>
      <c r="G404" s="6">
        <v>2300</v>
      </c>
      <c r="H404" s="4">
        <v>309</v>
      </c>
      <c r="I404" s="4">
        <v>148</v>
      </c>
      <c r="J404" s="4">
        <v>-36</v>
      </c>
    </row>
    <row r="405" spans="2:10">
      <c r="B405" s="4">
        <v>3028</v>
      </c>
      <c r="C405" s="4" t="s">
        <v>411</v>
      </c>
      <c r="D405" s="5">
        <v>0.25090000000000001</v>
      </c>
      <c r="E405" s="4">
        <v>1.6</v>
      </c>
      <c r="F405" s="4">
        <v>0</v>
      </c>
      <c r="G405" s="6">
        <v>1600</v>
      </c>
      <c r="H405" s="4">
        <v>321</v>
      </c>
      <c r="I405" s="4">
        <v>209</v>
      </c>
      <c r="J405" s="4">
        <v>81</v>
      </c>
    </row>
    <row r="406" spans="2:10">
      <c r="B406" s="4">
        <v>3029</v>
      </c>
      <c r="C406" s="4" t="s">
        <v>412</v>
      </c>
      <c r="D406" s="5">
        <v>0.1326</v>
      </c>
      <c r="E406" s="4">
        <v>0.7</v>
      </c>
      <c r="F406" s="4">
        <v>0</v>
      </c>
      <c r="G406" s="4">
        <v>700</v>
      </c>
      <c r="H406" s="4">
        <v>58</v>
      </c>
      <c r="I406" s="4">
        <v>9</v>
      </c>
      <c r="J406" s="4">
        <v>-47</v>
      </c>
    </row>
    <row r="407" spans="2:10">
      <c r="B407" s="4">
        <v>3030</v>
      </c>
      <c r="C407" s="4" t="s">
        <v>413</v>
      </c>
      <c r="D407" s="5">
        <v>7.8100000000000003E-2</v>
      </c>
      <c r="E407" s="4">
        <v>2.2999999999999998</v>
      </c>
      <c r="F407" s="4">
        <v>0.7</v>
      </c>
      <c r="G407" s="6">
        <v>3000</v>
      </c>
      <c r="H407" s="4">
        <v>84</v>
      </c>
      <c r="I407" s="4">
        <v>-126</v>
      </c>
      <c r="J407" s="4">
        <v>-366</v>
      </c>
    </row>
    <row r="408" spans="2:10">
      <c r="B408" s="4">
        <v>3031</v>
      </c>
      <c r="C408" s="4" t="s">
        <v>414</v>
      </c>
      <c r="D408" s="5">
        <v>0.29470000000000002</v>
      </c>
      <c r="E408" s="4">
        <v>1</v>
      </c>
      <c r="F408" s="4">
        <v>0</v>
      </c>
      <c r="G408" s="6">
        <v>1000</v>
      </c>
      <c r="H408" s="4">
        <v>245</v>
      </c>
      <c r="I408" s="4">
        <v>175</v>
      </c>
      <c r="J408" s="4">
        <v>95</v>
      </c>
    </row>
    <row r="409" spans="2:10">
      <c r="B409" s="4">
        <v>3032</v>
      </c>
      <c r="C409" s="4" t="s">
        <v>415</v>
      </c>
      <c r="D409" s="5">
        <v>3.5999999999999997E-2</v>
      </c>
      <c r="E409" s="4">
        <v>1</v>
      </c>
      <c r="F409" s="4">
        <v>0.1</v>
      </c>
      <c r="G409" s="6">
        <v>1100</v>
      </c>
      <c r="H409" s="4">
        <v>-15</v>
      </c>
      <c r="I409" s="4">
        <v>-92</v>
      </c>
      <c r="J409" s="4">
        <v>-180</v>
      </c>
    </row>
    <row r="410" spans="2:10">
      <c r="B410" s="4">
        <v>3033</v>
      </c>
      <c r="C410" s="4" t="s">
        <v>416</v>
      </c>
      <c r="D410" s="5">
        <v>0.1193</v>
      </c>
      <c r="E410" s="4">
        <v>2.1587999999999998</v>
      </c>
      <c r="F410" s="4">
        <v>0.5</v>
      </c>
      <c r="G410" s="6">
        <v>2659</v>
      </c>
      <c r="H410" s="4">
        <v>184</v>
      </c>
      <c r="I410" s="4">
        <v>-2</v>
      </c>
      <c r="J410" s="4">
        <v>-215</v>
      </c>
    </row>
    <row r="411" spans="2:10">
      <c r="B411" s="4">
        <v>3034</v>
      </c>
      <c r="C411" s="4" t="s">
        <v>417</v>
      </c>
      <c r="D411" s="5">
        <v>2.53E-2</v>
      </c>
      <c r="E411" s="4">
        <v>5.8</v>
      </c>
      <c r="F411" s="4">
        <v>0</v>
      </c>
      <c r="G411" s="6">
        <v>5800</v>
      </c>
      <c r="H411" s="4">
        <v>-143</v>
      </c>
      <c r="I411" s="4">
        <v>-549</v>
      </c>
      <c r="J411" s="4">
        <v>-1013</v>
      </c>
    </row>
    <row r="412" spans="2:10">
      <c r="B412" s="4">
        <v>3035</v>
      </c>
      <c r="C412" s="4" t="s">
        <v>418</v>
      </c>
      <c r="D412" s="5">
        <v>5.5800000000000002E-2</v>
      </c>
      <c r="E412" s="4">
        <v>1.5</v>
      </c>
      <c r="F412" s="4">
        <v>0.5</v>
      </c>
      <c r="G412" s="6">
        <v>2000</v>
      </c>
      <c r="H412" s="4">
        <v>12</v>
      </c>
      <c r="I412" s="4">
        <v>-128</v>
      </c>
      <c r="J412" s="4">
        <v>-288</v>
      </c>
    </row>
    <row r="413" spans="2:10">
      <c r="B413" s="4">
        <v>3036</v>
      </c>
      <c r="C413" s="4" t="s">
        <v>419</v>
      </c>
      <c r="D413" s="5">
        <v>0.1356</v>
      </c>
      <c r="E413" s="4">
        <v>3.8</v>
      </c>
      <c r="F413" s="4">
        <v>0.2</v>
      </c>
      <c r="G413" s="6">
        <v>4000</v>
      </c>
      <c r="H413" s="4">
        <v>342</v>
      </c>
      <c r="I413" s="4">
        <v>62</v>
      </c>
      <c r="J413" s="4">
        <v>-258</v>
      </c>
    </row>
    <row r="414" spans="2:10">
      <c r="B414" s="4">
        <v>3037</v>
      </c>
      <c r="C414" s="4" t="s">
        <v>420</v>
      </c>
      <c r="D414" s="5">
        <v>7.9500000000000001E-2</v>
      </c>
      <c r="E414" s="4">
        <v>2.6</v>
      </c>
      <c r="F414" s="4">
        <v>0</v>
      </c>
      <c r="G414" s="6">
        <v>2600</v>
      </c>
      <c r="H414" s="4">
        <v>77</v>
      </c>
      <c r="I414" s="4">
        <v>-105</v>
      </c>
      <c r="J414" s="4">
        <v>-313</v>
      </c>
    </row>
    <row r="415" spans="2:10">
      <c r="B415" s="4">
        <v>3040</v>
      </c>
      <c r="C415" s="4" t="s">
        <v>421</v>
      </c>
      <c r="D415" s="5">
        <v>0.1089</v>
      </c>
      <c r="E415" s="4">
        <v>0.4</v>
      </c>
      <c r="F415" s="4">
        <v>0</v>
      </c>
      <c r="G415" s="4">
        <v>400</v>
      </c>
      <c r="H415" s="4">
        <v>24</v>
      </c>
      <c r="I415" s="4">
        <v>-4</v>
      </c>
      <c r="J415" s="4">
        <v>-36</v>
      </c>
    </row>
    <row r="416" spans="2:10">
      <c r="B416" s="4">
        <v>3041</v>
      </c>
      <c r="C416" s="4" t="s">
        <v>422</v>
      </c>
      <c r="D416" s="5">
        <v>0.1338</v>
      </c>
      <c r="E416" s="4">
        <v>2.5</v>
      </c>
      <c r="F416" s="4">
        <v>0</v>
      </c>
      <c r="G416" s="6">
        <v>2500</v>
      </c>
      <c r="H416" s="4">
        <v>210</v>
      </c>
      <c r="I416" s="4">
        <v>35</v>
      </c>
      <c r="J416" s="4">
        <v>-166</v>
      </c>
    </row>
    <row r="417" spans="2:10">
      <c r="B417" s="4">
        <v>3042</v>
      </c>
      <c r="C417" s="4" t="s">
        <v>423</v>
      </c>
      <c r="D417" s="5">
        <v>5.6800000000000003E-2</v>
      </c>
      <c r="E417" s="4">
        <v>2.5</v>
      </c>
      <c r="F417" s="4">
        <v>0.2</v>
      </c>
      <c r="G417" s="6">
        <v>2700</v>
      </c>
      <c r="H417" s="4">
        <v>18</v>
      </c>
      <c r="I417" s="4">
        <v>-171</v>
      </c>
      <c r="J417" s="4">
        <v>-387</v>
      </c>
    </row>
    <row r="418" spans="2:10">
      <c r="B418" s="4">
        <v>3043</v>
      </c>
      <c r="C418" s="4" t="s">
        <v>424</v>
      </c>
      <c r="D418" s="5">
        <v>0.33329999999999999</v>
      </c>
      <c r="E418" s="4">
        <v>1.1000000000000001</v>
      </c>
      <c r="F418" s="4">
        <v>0.7</v>
      </c>
      <c r="G418" s="6">
        <v>1800</v>
      </c>
      <c r="H418" s="4">
        <v>510</v>
      </c>
      <c r="I418" s="4">
        <v>384</v>
      </c>
      <c r="J418" s="4">
        <v>240</v>
      </c>
    </row>
    <row r="419" spans="2:10">
      <c r="B419" s="4">
        <v>3044</v>
      </c>
      <c r="C419" s="4" t="s">
        <v>425</v>
      </c>
      <c r="D419" s="5">
        <v>5.0599999999999999E-2</v>
      </c>
      <c r="E419" s="4">
        <v>4.3</v>
      </c>
      <c r="F419" s="4">
        <v>1.1000000000000001</v>
      </c>
      <c r="G419" s="6">
        <v>5400</v>
      </c>
      <c r="H419" s="4">
        <v>3</v>
      </c>
      <c r="I419" s="4">
        <v>-375</v>
      </c>
      <c r="J419" s="4">
        <v>-807</v>
      </c>
    </row>
    <row r="420" spans="2:10">
      <c r="B420" s="4">
        <v>3045</v>
      </c>
      <c r="C420" s="4" t="s">
        <v>426</v>
      </c>
      <c r="D420" s="5">
        <v>0.20349999999999999</v>
      </c>
      <c r="E420" s="4">
        <v>4.16</v>
      </c>
      <c r="F420" s="4">
        <v>0</v>
      </c>
      <c r="G420" s="6">
        <v>4160</v>
      </c>
      <c r="H420" s="4">
        <v>639</v>
      </c>
      <c r="I420" s="4">
        <v>347</v>
      </c>
      <c r="J420" s="4">
        <v>15</v>
      </c>
    </row>
    <row r="421" spans="2:10">
      <c r="B421" s="4">
        <v>3047</v>
      </c>
      <c r="C421" s="4" t="s">
        <v>427</v>
      </c>
      <c r="D421" s="5">
        <v>0.23180000000000001</v>
      </c>
      <c r="E421" s="4">
        <v>0.15</v>
      </c>
      <c r="F421" s="4">
        <v>0.45</v>
      </c>
      <c r="G421" s="4">
        <v>600</v>
      </c>
      <c r="H421" s="4">
        <v>109</v>
      </c>
      <c r="I421" s="4">
        <v>67</v>
      </c>
      <c r="J421" s="4">
        <v>19</v>
      </c>
    </row>
    <row r="422" spans="2:10">
      <c r="B422" s="4">
        <v>3048</v>
      </c>
      <c r="C422" s="4" t="s">
        <v>428</v>
      </c>
      <c r="D422" s="5">
        <v>0.2215</v>
      </c>
      <c r="E422" s="4">
        <v>0.69</v>
      </c>
      <c r="F422" s="4">
        <v>0</v>
      </c>
      <c r="G422" s="4">
        <v>690</v>
      </c>
      <c r="H422" s="4">
        <v>118</v>
      </c>
      <c r="I422" s="4">
        <v>70</v>
      </c>
      <c r="J422" s="4">
        <v>15</v>
      </c>
    </row>
    <row r="423" spans="2:10">
      <c r="B423" s="4">
        <v>3050</v>
      </c>
      <c r="C423" s="4" t="s">
        <v>429</v>
      </c>
      <c r="D423" s="5">
        <v>0</v>
      </c>
      <c r="E423" s="4">
        <v>0.19</v>
      </c>
      <c r="F423" s="4">
        <v>0</v>
      </c>
      <c r="G423" s="4">
        <v>190</v>
      </c>
      <c r="H423" s="4">
        <v>-10</v>
      </c>
      <c r="I423" s="4">
        <v>-23</v>
      </c>
      <c r="J423" s="4">
        <v>-38</v>
      </c>
    </row>
    <row r="424" spans="2:10">
      <c r="B424" s="4">
        <v>3052</v>
      </c>
      <c r="C424" s="4" t="s">
        <v>430</v>
      </c>
      <c r="D424" s="5">
        <v>0</v>
      </c>
      <c r="E424" s="4">
        <v>0.6</v>
      </c>
      <c r="F424" s="4">
        <v>0.4</v>
      </c>
      <c r="G424" s="6">
        <v>1000</v>
      </c>
      <c r="H424" s="4">
        <v>-50</v>
      </c>
      <c r="I424" s="4">
        <v>-120</v>
      </c>
      <c r="J424" s="4">
        <v>-200</v>
      </c>
    </row>
    <row r="425" spans="2:10">
      <c r="B425" s="4">
        <v>3054</v>
      </c>
      <c r="C425" s="4" t="s">
        <v>431</v>
      </c>
      <c r="D425" s="5">
        <v>0.12920000000000001</v>
      </c>
      <c r="E425" s="4">
        <v>1.36</v>
      </c>
      <c r="F425" s="4">
        <v>0</v>
      </c>
      <c r="G425" s="6">
        <v>1360</v>
      </c>
      <c r="H425" s="4">
        <v>108</v>
      </c>
      <c r="I425" s="4">
        <v>13</v>
      </c>
      <c r="J425" s="4">
        <v>-96</v>
      </c>
    </row>
    <row r="426" spans="2:10">
      <c r="B426" s="4">
        <v>3055</v>
      </c>
      <c r="C426" s="4" t="s">
        <v>432</v>
      </c>
      <c r="D426" s="5">
        <v>0.17349999999999999</v>
      </c>
      <c r="E426" s="4">
        <v>2</v>
      </c>
      <c r="F426" s="4">
        <v>0</v>
      </c>
      <c r="G426" s="6">
        <v>2000</v>
      </c>
      <c r="H426" s="4">
        <v>247</v>
      </c>
      <c r="I426" s="4">
        <v>107</v>
      </c>
      <c r="J426" s="4">
        <v>-53</v>
      </c>
    </row>
    <row r="427" spans="2:10">
      <c r="B427" s="4">
        <v>3058</v>
      </c>
      <c r="C427" s="4" t="s">
        <v>433</v>
      </c>
      <c r="D427" s="5">
        <v>1.17E-2</v>
      </c>
      <c r="E427" s="4">
        <v>1.2</v>
      </c>
      <c r="F427" s="4">
        <v>0</v>
      </c>
      <c r="G427" s="6">
        <v>1200</v>
      </c>
      <c r="H427" s="4">
        <v>-46</v>
      </c>
      <c r="I427" s="4">
        <v>-130</v>
      </c>
      <c r="J427" s="4">
        <v>-226</v>
      </c>
    </row>
    <row r="428" spans="2:10">
      <c r="B428" s="4">
        <v>3059</v>
      </c>
      <c r="C428" s="4" t="s">
        <v>434</v>
      </c>
      <c r="D428" s="5">
        <v>3.9800000000000002E-2</v>
      </c>
      <c r="E428" s="4">
        <v>2</v>
      </c>
      <c r="F428" s="4">
        <v>0.1</v>
      </c>
      <c r="G428" s="6">
        <v>2100</v>
      </c>
      <c r="H428" s="4">
        <v>-21</v>
      </c>
      <c r="I428" s="4">
        <v>-168</v>
      </c>
      <c r="J428" s="4">
        <v>-336</v>
      </c>
    </row>
    <row r="429" spans="2:10">
      <c r="B429" s="4">
        <v>3060</v>
      </c>
      <c r="C429" s="4" t="s">
        <v>435</v>
      </c>
      <c r="D429" s="5">
        <v>0.1734</v>
      </c>
      <c r="E429" s="4">
        <v>4.0999999999999996</v>
      </c>
      <c r="F429" s="4">
        <v>0</v>
      </c>
      <c r="G429" s="6">
        <v>4100</v>
      </c>
      <c r="H429" s="4">
        <v>506</v>
      </c>
      <c r="I429" s="4">
        <v>219</v>
      </c>
      <c r="J429" s="4">
        <v>-109</v>
      </c>
    </row>
    <row r="430" spans="2:10">
      <c r="B430" s="4">
        <v>3061</v>
      </c>
      <c r="C430" s="4" t="s">
        <v>436</v>
      </c>
      <c r="D430" s="5">
        <v>0.11899999999999999</v>
      </c>
      <c r="E430" s="4">
        <v>1.4258599999999999</v>
      </c>
      <c r="F430" s="4">
        <v>0</v>
      </c>
      <c r="G430" s="6">
        <v>1426</v>
      </c>
      <c r="H430" s="4">
        <v>98</v>
      </c>
      <c r="I430" s="4">
        <v>-1</v>
      </c>
      <c r="J430" s="4">
        <v>-115</v>
      </c>
    </row>
    <row r="431" spans="2:10">
      <c r="B431" s="4">
        <v>3062</v>
      </c>
      <c r="C431" s="4" t="s">
        <v>437</v>
      </c>
      <c r="D431" s="5">
        <v>8.2299999999999998E-2</v>
      </c>
      <c r="E431" s="4">
        <v>0.7</v>
      </c>
      <c r="F431" s="4">
        <v>0</v>
      </c>
      <c r="G431" s="4">
        <v>700</v>
      </c>
      <c r="H431" s="4">
        <v>23</v>
      </c>
      <c r="I431" s="4">
        <v>-26</v>
      </c>
      <c r="J431" s="4">
        <v>-82</v>
      </c>
    </row>
    <row r="432" spans="2:10">
      <c r="B432" s="4">
        <v>3067</v>
      </c>
      <c r="C432" s="4" t="s">
        <v>438</v>
      </c>
      <c r="D432" s="5">
        <v>7.4099999999999999E-2</v>
      </c>
      <c r="E432" s="4">
        <v>2.1</v>
      </c>
      <c r="F432" s="4">
        <v>0</v>
      </c>
      <c r="G432" s="6">
        <v>2100</v>
      </c>
      <c r="H432" s="4">
        <v>51</v>
      </c>
      <c r="I432" s="4">
        <v>-96</v>
      </c>
      <c r="J432" s="4">
        <v>-264</v>
      </c>
    </row>
    <row r="433" spans="2:10">
      <c r="B433" s="4">
        <v>3068</v>
      </c>
      <c r="C433" s="4" t="s">
        <v>439</v>
      </c>
      <c r="D433" s="5">
        <v>0.1411</v>
      </c>
      <c r="E433" s="4">
        <v>4</v>
      </c>
      <c r="F433" s="4">
        <v>0</v>
      </c>
      <c r="G433" s="6">
        <v>4000</v>
      </c>
      <c r="H433" s="4">
        <v>364</v>
      </c>
      <c r="I433" s="4">
        <v>84</v>
      </c>
      <c r="J433" s="4">
        <v>-236</v>
      </c>
    </row>
    <row r="434" spans="2:10">
      <c r="B434" s="4">
        <v>3078</v>
      </c>
      <c r="C434" s="4" t="s">
        <v>440</v>
      </c>
      <c r="D434" s="5">
        <v>0.2324</v>
      </c>
      <c r="E434" s="4">
        <v>0.4</v>
      </c>
      <c r="F434" s="4">
        <v>0.75</v>
      </c>
      <c r="G434" s="6">
        <v>1150</v>
      </c>
      <c r="H434" s="4">
        <v>210</v>
      </c>
      <c r="I434" s="4">
        <v>129</v>
      </c>
      <c r="J434" s="4">
        <v>37</v>
      </c>
    </row>
    <row r="435" spans="2:10">
      <c r="B435" s="4">
        <v>3080</v>
      </c>
      <c r="C435" s="4" t="s">
        <v>441</v>
      </c>
      <c r="D435" s="5">
        <v>0.1991</v>
      </c>
      <c r="E435" s="4">
        <v>2</v>
      </c>
      <c r="F435" s="4">
        <v>0</v>
      </c>
      <c r="G435" s="6">
        <v>2000</v>
      </c>
      <c r="H435" s="4">
        <v>298</v>
      </c>
      <c r="I435" s="4">
        <v>158</v>
      </c>
      <c r="J435" s="4">
        <v>-2</v>
      </c>
    </row>
    <row r="436" spans="2:10">
      <c r="B436" s="4">
        <v>3083</v>
      </c>
      <c r="C436" s="4" t="s">
        <v>442</v>
      </c>
      <c r="D436" s="5">
        <v>0.1263</v>
      </c>
      <c r="E436" s="4">
        <v>9.3000000000000007</v>
      </c>
      <c r="F436" s="4">
        <v>0</v>
      </c>
      <c r="G436" s="6">
        <v>9300</v>
      </c>
      <c r="H436" s="4">
        <v>710</v>
      </c>
      <c r="I436" s="4">
        <v>59</v>
      </c>
      <c r="J436" s="4">
        <v>-685</v>
      </c>
    </row>
    <row r="437" spans="2:10">
      <c r="B437" s="4">
        <v>3088</v>
      </c>
      <c r="C437" s="4" t="s">
        <v>443</v>
      </c>
      <c r="D437" s="5">
        <v>3.4099999999999998E-2</v>
      </c>
      <c r="E437" s="4">
        <v>2.2000000000000002</v>
      </c>
      <c r="F437" s="4">
        <v>0</v>
      </c>
      <c r="G437" s="6">
        <v>2200</v>
      </c>
      <c r="H437" s="4">
        <v>-35</v>
      </c>
      <c r="I437" s="4">
        <v>-189</v>
      </c>
      <c r="J437" s="4">
        <v>-365</v>
      </c>
    </row>
    <row r="438" spans="2:10">
      <c r="B438" s="4">
        <v>3089</v>
      </c>
      <c r="C438" s="4" t="s">
        <v>444</v>
      </c>
      <c r="D438" s="5">
        <v>1.9300000000000001E-2</v>
      </c>
      <c r="E438" s="4">
        <v>0.3</v>
      </c>
      <c r="F438" s="4">
        <v>0</v>
      </c>
      <c r="G438" s="4">
        <v>300</v>
      </c>
      <c r="H438" s="4">
        <v>-9</v>
      </c>
      <c r="I438" s="4">
        <v>-30</v>
      </c>
      <c r="J438" s="4">
        <v>-54</v>
      </c>
    </row>
    <row r="439" spans="2:10">
      <c r="B439" s="4">
        <v>3090</v>
      </c>
      <c r="C439" s="4" t="s">
        <v>445</v>
      </c>
      <c r="D439" s="5">
        <v>0.16950000000000001</v>
      </c>
      <c r="E439" s="4">
        <v>1.85</v>
      </c>
      <c r="F439" s="4">
        <v>1.75</v>
      </c>
      <c r="G439" s="6">
        <v>3600</v>
      </c>
      <c r="H439" s="4">
        <v>430</v>
      </c>
      <c r="I439" s="4">
        <v>178</v>
      </c>
      <c r="J439" s="4">
        <v>-110</v>
      </c>
    </row>
    <row r="440" spans="2:10">
      <c r="B440" s="4">
        <v>3092</v>
      </c>
      <c r="C440" s="4" t="s">
        <v>446</v>
      </c>
      <c r="D440" s="5">
        <v>4.41E-2</v>
      </c>
      <c r="E440" s="4">
        <v>0.7</v>
      </c>
      <c r="F440" s="4">
        <v>0.5</v>
      </c>
      <c r="G440" s="6">
        <v>1200</v>
      </c>
      <c r="H440" s="4">
        <v>-7</v>
      </c>
      <c r="I440" s="4">
        <v>-91</v>
      </c>
      <c r="J440" s="4">
        <v>-187</v>
      </c>
    </row>
    <row r="441" spans="2:10">
      <c r="B441" s="4">
        <v>3093</v>
      </c>
      <c r="C441" s="4" t="s">
        <v>447</v>
      </c>
      <c r="D441" s="5">
        <v>0.38440000000000002</v>
      </c>
      <c r="E441" s="4">
        <v>6</v>
      </c>
      <c r="F441" s="4">
        <v>0</v>
      </c>
      <c r="G441" s="6">
        <v>6000</v>
      </c>
      <c r="H441" s="4">
        <v>2006</v>
      </c>
      <c r="I441" s="4">
        <v>1586</v>
      </c>
      <c r="J441" s="4">
        <v>1106</v>
      </c>
    </row>
    <row r="442" spans="2:10">
      <c r="B442" s="4">
        <v>3094</v>
      </c>
      <c r="C442" s="4" t="s">
        <v>448</v>
      </c>
      <c r="D442" s="5">
        <v>4.7000000000000002E-3</v>
      </c>
      <c r="E442" s="4">
        <v>1.1499999999999999</v>
      </c>
      <c r="F442" s="4">
        <v>0.2</v>
      </c>
      <c r="G442" s="6">
        <v>1350</v>
      </c>
      <c r="H442" s="4">
        <v>-61</v>
      </c>
      <c r="I442" s="4">
        <v>-156</v>
      </c>
      <c r="J442" s="4">
        <v>-264</v>
      </c>
    </row>
    <row r="443" spans="2:10">
      <c r="B443" s="4">
        <v>3114</v>
      </c>
      <c r="C443" s="4" t="s">
        <v>449</v>
      </c>
      <c r="D443" s="5">
        <v>0.2457</v>
      </c>
      <c r="E443" s="4">
        <v>0.2</v>
      </c>
      <c r="F443" s="4">
        <v>0</v>
      </c>
      <c r="G443" s="4">
        <v>200</v>
      </c>
      <c r="H443" s="4">
        <v>39</v>
      </c>
      <c r="I443" s="4">
        <v>25</v>
      </c>
      <c r="J443" s="4">
        <v>9</v>
      </c>
    </row>
    <row r="444" spans="2:10">
      <c r="B444" s="4">
        <v>3118</v>
      </c>
      <c r="C444" s="4" t="s">
        <v>450</v>
      </c>
      <c r="D444" s="5">
        <v>8.14E-2</v>
      </c>
      <c r="E444" s="4">
        <v>1.5</v>
      </c>
      <c r="F444" s="4">
        <v>0.5</v>
      </c>
      <c r="G444" s="6">
        <v>2000</v>
      </c>
      <c r="H444" s="4">
        <v>63</v>
      </c>
      <c r="I444" s="4">
        <v>-77</v>
      </c>
      <c r="J444" s="4">
        <v>-237</v>
      </c>
    </row>
    <row r="445" spans="2:10">
      <c r="B445" s="4">
        <v>3130</v>
      </c>
      <c r="C445" s="4" t="s">
        <v>451</v>
      </c>
      <c r="D445" s="5">
        <v>0.19600000000000001</v>
      </c>
      <c r="E445" s="4">
        <v>6</v>
      </c>
      <c r="F445" s="4">
        <v>0</v>
      </c>
      <c r="G445" s="6">
        <v>6000</v>
      </c>
      <c r="H445" s="4">
        <v>876</v>
      </c>
      <c r="I445" s="4">
        <v>456</v>
      </c>
      <c r="J445" s="4">
        <v>-24</v>
      </c>
    </row>
    <row r="446" spans="2:10">
      <c r="B446" s="4">
        <v>3131</v>
      </c>
      <c r="C446" s="4" t="s">
        <v>452</v>
      </c>
      <c r="D446" s="5">
        <v>0.13020000000000001</v>
      </c>
      <c r="E446" s="4">
        <v>8.5</v>
      </c>
      <c r="F446" s="4">
        <v>0</v>
      </c>
      <c r="G446" s="6">
        <v>8500</v>
      </c>
      <c r="H446" s="4">
        <v>682</v>
      </c>
      <c r="I446" s="4">
        <v>87</v>
      </c>
      <c r="J446" s="4">
        <v>-593</v>
      </c>
    </row>
    <row r="447" spans="2:10">
      <c r="B447" s="4">
        <v>3152</v>
      </c>
      <c r="C447" s="4" t="s">
        <v>453</v>
      </c>
      <c r="D447" s="5">
        <v>9.7999999999999997E-3</v>
      </c>
      <c r="E447" s="4">
        <v>5.5</v>
      </c>
      <c r="F447" s="4">
        <v>0</v>
      </c>
      <c r="G447" s="6">
        <v>5500</v>
      </c>
      <c r="H447" s="4">
        <v>-221</v>
      </c>
      <c r="I447" s="4">
        <v>-606</v>
      </c>
      <c r="J447" s="4">
        <v>-1046</v>
      </c>
    </row>
    <row r="448" spans="2:10">
      <c r="B448" s="4">
        <v>3162</v>
      </c>
      <c r="C448" s="4" t="s">
        <v>454</v>
      </c>
      <c r="D448" s="5">
        <v>0</v>
      </c>
      <c r="E448" s="4">
        <v>0.2205</v>
      </c>
      <c r="F448" s="4">
        <v>0.27893000000000001</v>
      </c>
      <c r="G448" s="4">
        <v>499</v>
      </c>
      <c r="H448" s="4">
        <v>-25</v>
      </c>
      <c r="I448" s="4">
        <v>-60</v>
      </c>
      <c r="J448" s="4">
        <v>-100</v>
      </c>
    </row>
    <row r="449" spans="2:10">
      <c r="B449" s="4">
        <v>3164</v>
      </c>
      <c r="C449" s="4" t="s">
        <v>455</v>
      </c>
      <c r="D449" s="5">
        <v>8.6300000000000002E-2</v>
      </c>
      <c r="E449" s="4">
        <v>2</v>
      </c>
      <c r="F449" s="4">
        <v>0</v>
      </c>
      <c r="G449" s="6">
        <v>2000</v>
      </c>
      <c r="H449" s="4">
        <v>73</v>
      </c>
      <c r="I449" s="4">
        <v>-67</v>
      </c>
      <c r="J449" s="4">
        <v>-227</v>
      </c>
    </row>
    <row r="450" spans="2:10">
      <c r="B450" s="4">
        <v>3169</v>
      </c>
      <c r="C450" s="4" t="s">
        <v>456</v>
      </c>
      <c r="D450" s="5">
        <v>3.4599999999999999E-2</v>
      </c>
      <c r="E450" s="4">
        <v>2.5</v>
      </c>
      <c r="F450" s="4">
        <v>0</v>
      </c>
      <c r="G450" s="6">
        <v>2500</v>
      </c>
      <c r="H450" s="4">
        <v>-39</v>
      </c>
      <c r="I450" s="4">
        <v>-214</v>
      </c>
      <c r="J450" s="4">
        <v>-414</v>
      </c>
    </row>
    <row r="451" spans="2:10">
      <c r="B451" s="4">
        <v>3189</v>
      </c>
      <c r="C451" s="4" t="s">
        <v>457</v>
      </c>
      <c r="D451" s="5">
        <v>7.4099999999999999E-2</v>
      </c>
      <c r="E451" s="4">
        <v>3</v>
      </c>
      <c r="F451" s="4">
        <v>0</v>
      </c>
      <c r="G451" s="6">
        <v>3000</v>
      </c>
      <c r="H451" s="4">
        <v>72</v>
      </c>
      <c r="I451" s="4">
        <v>-138</v>
      </c>
      <c r="J451" s="4">
        <v>-378</v>
      </c>
    </row>
    <row r="452" spans="2:10">
      <c r="B452" s="4">
        <v>3202</v>
      </c>
      <c r="C452" s="4" t="s">
        <v>458</v>
      </c>
      <c r="D452" s="5">
        <v>0.1341</v>
      </c>
      <c r="E452" s="4">
        <v>0.2</v>
      </c>
      <c r="F452" s="4">
        <v>0</v>
      </c>
      <c r="G452" s="4">
        <v>200</v>
      </c>
      <c r="H452" s="4">
        <v>17</v>
      </c>
      <c r="I452" s="4">
        <v>3</v>
      </c>
      <c r="J452" s="4">
        <v>-13</v>
      </c>
    </row>
    <row r="453" spans="2:10">
      <c r="B453" s="4">
        <v>3206</v>
      </c>
      <c r="C453" s="4" t="s">
        <v>459</v>
      </c>
      <c r="D453" s="5">
        <v>4.9099999999999998E-2</v>
      </c>
      <c r="E453" s="4">
        <v>1.3</v>
      </c>
      <c r="F453" s="4">
        <v>0.2</v>
      </c>
      <c r="G453" s="6">
        <v>1500</v>
      </c>
      <c r="H453" s="4">
        <v>-1</v>
      </c>
      <c r="I453" s="4">
        <v>-106</v>
      </c>
      <c r="J453" s="4">
        <v>-226</v>
      </c>
    </row>
    <row r="454" spans="2:10">
      <c r="B454" s="4">
        <v>3207</v>
      </c>
      <c r="C454" s="4" t="s">
        <v>460</v>
      </c>
      <c r="D454" s="5">
        <v>0.32850000000000001</v>
      </c>
      <c r="E454" s="4">
        <v>0.1</v>
      </c>
      <c r="F454" s="4">
        <v>0.3</v>
      </c>
      <c r="G454" s="4">
        <v>400</v>
      </c>
      <c r="H454" s="4">
        <v>111</v>
      </c>
      <c r="I454" s="4">
        <v>83</v>
      </c>
      <c r="J454" s="4">
        <v>51</v>
      </c>
    </row>
    <row r="455" spans="2:10">
      <c r="B455" s="4">
        <v>3209</v>
      </c>
      <c r="C455" s="4" t="s">
        <v>461</v>
      </c>
      <c r="D455" s="5">
        <v>0.2248</v>
      </c>
      <c r="E455" s="4">
        <v>1.5</v>
      </c>
      <c r="F455" s="4">
        <v>1.5</v>
      </c>
      <c r="G455" s="6">
        <v>3000</v>
      </c>
      <c r="H455" s="4">
        <v>524</v>
      </c>
      <c r="I455" s="4">
        <v>314</v>
      </c>
      <c r="J455" s="4">
        <v>74</v>
      </c>
    </row>
    <row r="456" spans="2:10">
      <c r="B456" s="4">
        <v>3211</v>
      </c>
      <c r="C456" s="4" t="s">
        <v>462</v>
      </c>
      <c r="D456" s="5">
        <v>0.19589999999999999</v>
      </c>
      <c r="E456" s="4">
        <v>6</v>
      </c>
      <c r="F456" s="4">
        <v>0</v>
      </c>
      <c r="G456" s="6">
        <v>6000</v>
      </c>
      <c r="H456" s="4">
        <v>875</v>
      </c>
      <c r="I456" s="4">
        <v>455</v>
      </c>
      <c r="J456" s="4">
        <v>-25</v>
      </c>
    </row>
    <row r="457" spans="2:10">
      <c r="B457" s="4">
        <v>3213</v>
      </c>
      <c r="C457" s="4" t="s">
        <v>463</v>
      </c>
      <c r="D457" s="5">
        <v>0.221</v>
      </c>
      <c r="E457" s="4">
        <v>4</v>
      </c>
      <c r="F457" s="4">
        <v>1.5</v>
      </c>
      <c r="G457" s="6">
        <v>5500</v>
      </c>
      <c r="H457" s="4">
        <v>941</v>
      </c>
      <c r="I457" s="4">
        <v>556</v>
      </c>
      <c r="J457" s="4">
        <v>116</v>
      </c>
    </row>
    <row r="458" spans="2:10">
      <c r="B458" s="4">
        <v>3217</v>
      </c>
      <c r="C458" s="4" t="s">
        <v>464</v>
      </c>
      <c r="D458" s="5">
        <v>0.33329999999999999</v>
      </c>
      <c r="E458" s="4">
        <v>1.5</v>
      </c>
      <c r="F458" s="4">
        <v>0</v>
      </c>
      <c r="G458" s="6">
        <v>1500</v>
      </c>
      <c r="H458" s="4">
        <v>425</v>
      </c>
      <c r="I458" s="4">
        <v>320</v>
      </c>
      <c r="J458" s="4">
        <v>200</v>
      </c>
    </row>
    <row r="459" spans="2:10">
      <c r="B459" s="4">
        <v>3221</v>
      </c>
      <c r="C459" s="4" t="s">
        <v>465</v>
      </c>
      <c r="D459" s="5">
        <v>0.1759</v>
      </c>
      <c r="E459" s="4">
        <v>0.8</v>
      </c>
      <c r="F459" s="4">
        <v>0.4</v>
      </c>
      <c r="G459" s="6">
        <v>1200</v>
      </c>
      <c r="H459" s="4">
        <v>151</v>
      </c>
      <c r="I459" s="4">
        <v>67</v>
      </c>
      <c r="J459" s="4">
        <v>-29</v>
      </c>
    </row>
    <row r="460" spans="2:10">
      <c r="B460" s="4">
        <v>3227</v>
      </c>
      <c r="C460" s="4" t="s">
        <v>466</v>
      </c>
      <c r="D460" s="5">
        <v>3.3300000000000003E-2</v>
      </c>
      <c r="E460" s="4">
        <v>4.7</v>
      </c>
      <c r="F460" s="4">
        <v>0.1</v>
      </c>
      <c r="G460" s="6">
        <v>4800</v>
      </c>
      <c r="H460" s="4">
        <v>-80</v>
      </c>
      <c r="I460" s="4">
        <v>-416</v>
      </c>
      <c r="J460" s="4">
        <v>-800</v>
      </c>
    </row>
    <row r="461" spans="2:10">
      <c r="B461" s="4">
        <v>3229</v>
      </c>
      <c r="C461" s="4" t="s">
        <v>467</v>
      </c>
      <c r="D461" s="5">
        <v>0.32390000000000002</v>
      </c>
      <c r="E461" s="4">
        <v>0.4</v>
      </c>
      <c r="F461" s="4">
        <v>0</v>
      </c>
      <c r="G461" s="4">
        <v>400</v>
      </c>
      <c r="H461" s="4">
        <v>110</v>
      </c>
      <c r="I461" s="4">
        <v>82</v>
      </c>
      <c r="J461" s="4">
        <v>50</v>
      </c>
    </row>
    <row r="462" spans="2:10">
      <c r="B462" s="4">
        <v>3231</v>
      </c>
      <c r="C462" s="4" t="s">
        <v>468</v>
      </c>
      <c r="D462" s="5">
        <v>0.12</v>
      </c>
      <c r="E462" s="4">
        <v>3.2</v>
      </c>
      <c r="F462" s="4">
        <v>0.5</v>
      </c>
      <c r="G462" s="6">
        <v>3700</v>
      </c>
      <c r="H462" s="4">
        <v>259</v>
      </c>
      <c r="I462" s="4">
        <v>0</v>
      </c>
      <c r="J462" s="4">
        <v>-296</v>
      </c>
    </row>
    <row r="463" spans="2:10">
      <c r="B463" s="4">
        <v>3234</v>
      </c>
      <c r="C463" s="4" t="s">
        <v>469</v>
      </c>
      <c r="D463" s="5">
        <v>6.1800000000000001E-2</v>
      </c>
      <c r="E463" s="4">
        <v>1</v>
      </c>
      <c r="F463" s="4">
        <v>0</v>
      </c>
      <c r="G463" s="6">
        <v>1000</v>
      </c>
      <c r="H463" s="4">
        <v>12</v>
      </c>
      <c r="I463" s="4">
        <v>-58</v>
      </c>
      <c r="J463" s="4">
        <v>-138</v>
      </c>
    </row>
    <row r="464" spans="2:10">
      <c r="B464" s="4">
        <v>3236</v>
      </c>
      <c r="C464" s="4" t="s">
        <v>470</v>
      </c>
      <c r="D464" s="5">
        <v>0.33329999999999999</v>
      </c>
      <c r="E464" s="4">
        <v>0.6</v>
      </c>
      <c r="F464" s="4">
        <v>0.6</v>
      </c>
      <c r="G464" s="6">
        <v>1200</v>
      </c>
      <c r="H464" s="4">
        <v>340</v>
      </c>
      <c r="I464" s="4">
        <v>256</v>
      </c>
      <c r="J464" s="4">
        <v>160</v>
      </c>
    </row>
    <row r="465" spans="2:10">
      <c r="B465" s="4">
        <v>3257</v>
      </c>
      <c r="C465" s="4" t="s">
        <v>471</v>
      </c>
      <c r="D465" s="5">
        <v>1.1999999999999999E-3</v>
      </c>
      <c r="E465" s="4">
        <v>2</v>
      </c>
      <c r="F465" s="4">
        <v>0</v>
      </c>
      <c r="G465" s="6">
        <v>2000</v>
      </c>
      <c r="H465" s="4">
        <v>-98</v>
      </c>
      <c r="I465" s="4">
        <v>-238</v>
      </c>
      <c r="J465" s="4">
        <v>-398</v>
      </c>
    </row>
    <row r="466" spans="2:10">
      <c r="B466" s="4">
        <v>3264</v>
      </c>
      <c r="C466" s="4" t="s">
        <v>472</v>
      </c>
      <c r="D466" s="5">
        <v>0</v>
      </c>
      <c r="E466" s="4">
        <v>2</v>
      </c>
      <c r="F466" s="4">
        <v>0.1</v>
      </c>
      <c r="G466" s="6">
        <v>2100</v>
      </c>
      <c r="H466" s="4">
        <v>-105</v>
      </c>
      <c r="I466" s="4">
        <v>-252</v>
      </c>
      <c r="J466" s="4">
        <v>-420</v>
      </c>
    </row>
    <row r="467" spans="2:10">
      <c r="B467" s="4">
        <v>3265</v>
      </c>
      <c r="C467" s="4" t="s">
        <v>473</v>
      </c>
      <c r="D467" s="5">
        <v>0.12620000000000001</v>
      </c>
      <c r="E467" s="4">
        <v>0.83199999999999996</v>
      </c>
      <c r="F467" s="4">
        <v>0</v>
      </c>
      <c r="G467" s="4">
        <v>832</v>
      </c>
      <c r="H467" s="4">
        <v>63</v>
      </c>
      <c r="I467" s="4">
        <v>5</v>
      </c>
      <c r="J467" s="4">
        <v>-61</v>
      </c>
    </row>
    <row r="468" spans="2:10">
      <c r="B468" s="4">
        <v>3266</v>
      </c>
      <c r="C468" s="4" t="s">
        <v>474</v>
      </c>
      <c r="D468" s="5">
        <v>0.28349999999999997</v>
      </c>
      <c r="E468" s="4">
        <v>0.8</v>
      </c>
      <c r="F468" s="4">
        <v>0</v>
      </c>
      <c r="G468" s="4">
        <v>800</v>
      </c>
      <c r="H468" s="4">
        <v>187</v>
      </c>
      <c r="I468" s="4">
        <v>131</v>
      </c>
      <c r="J468" s="4">
        <v>67</v>
      </c>
    </row>
    <row r="469" spans="2:10">
      <c r="B469" s="4">
        <v>3284</v>
      </c>
      <c r="C469" s="4" t="s">
        <v>475</v>
      </c>
      <c r="D469" s="5">
        <v>0.17580000000000001</v>
      </c>
      <c r="E469" s="4">
        <v>1</v>
      </c>
      <c r="F469" s="4">
        <v>0.1</v>
      </c>
      <c r="G469" s="6">
        <v>1100</v>
      </c>
      <c r="H469" s="4">
        <v>138</v>
      </c>
      <c r="I469" s="4">
        <v>61</v>
      </c>
      <c r="J469" s="4">
        <v>-27</v>
      </c>
    </row>
    <row r="470" spans="2:10">
      <c r="B470" s="4">
        <v>3287</v>
      </c>
      <c r="C470" s="4" t="s">
        <v>476</v>
      </c>
      <c r="D470" s="5">
        <v>0.21010000000000001</v>
      </c>
      <c r="E470" s="4">
        <v>1.3</v>
      </c>
      <c r="F470" s="4">
        <v>0</v>
      </c>
      <c r="G470" s="6">
        <v>1300</v>
      </c>
      <c r="H470" s="4">
        <v>208</v>
      </c>
      <c r="I470" s="4">
        <v>117</v>
      </c>
      <c r="J470" s="4">
        <v>13</v>
      </c>
    </row>
    <row r="471" spans="2:10">
      <c r="B471" s="4">
        <v>3289</v>
      </c>
      <c r="C471" s="4" t="s">
        <v>477</v>
      </c>
      <c r="D471" s="5">
        <v>0.27450000000000002</v>
      </c>
      <c r="E471" s="4">
        <v>0.25</v>
      </c>
      <c r="F471" s="4">
        <v>0.2</v>
      </c>
      <c r="G471" s="4">
        <v>450</v>
      </c>
      <c r="H471" s="4">
        <v>101</v>
      </c>
      <c r="I471" s="4">
        <v>70</v>
      </c>
      <c r="J471" s="4">
        <v>34</v>
      </c>
    </row>
    <row r="472" spans="2:10">
      <c r="B472" s="4">
        <v>3290</v>
      </c>
      <c r="C472" s="4" t="s">
        <v>478</v>
      </c>
      <c r="D472" s="5">
        <v>0.03</v>
      </c>
      <c r="E472" s="4">
        <v>0.5</v>
      </c>
      <c r="F472" s="4">
        <v>0</v>
      </c>
      <c r="G472" s="4">
        <v>500</v>
      </c>
      <c r="H472" s="4">
        <v>-10</v>
      </c>
      <c r="I472" s="4">
        <v>-45</v>
      </c>
      <c r="J472" s="4">
        <v>-85</v>
      </c>
    </row>
    <row r="473" spans="2:10">
      <c r="B473" s="4">
        <v>3291</v>
      </c>
      <c r="C473" s="4" t="s">
        <v>479</v>
      </c>
      <c r="D473" s="5">
        <v>0.1062</v>
      </c>
      <c r="E473" s="4">
        <v>2</v>
      </c>
      <c r="F473" s="4">
        <v>0.45</v>
      </c>
      <c r="G473" s="6">
        <v>2450</v>
      </c>
      <c r="H473" s="4">
        <v>138</v>
      </c>
      <c r="I473" s="4">
        <v>-34</v>
      </c>
      <c r="J473" s="4">
        <v>-230</v>
      </c>
    </row>
    <row r="474" spans="2:10">
      <c r="B474" s="4">
        <v>3293</v>
      </c>
      <c r="C474" s="4" t="s">
        <v>480</v>
      </c>
      <c r="D474" s="5">
        <v>9.3200000000000005E-2</v>
      </c>
      <c r="E474" s="4">
        <v>9.5</v>
      </c>
      <c r="F474" s="4">
        <v>0</v>
      </c>
      <c r="G474" s="6">
        <v>9500</v>
      </c>
      <c r="H474" s="4">
        <v>410</v>
      </c>
      <c r="I474" s="4">
        <v>-255</v>
      </c>
      <c r="J474" s="4">
        <v>-1015</v>
      </c>
    </row>
    <row r="475" spans="2:10">
      <c r="B475" s="4">
        <v>3296</v>
      </c>
      <c r="C475" s="4" t="s">
        <v>481</v>
      </c>
      <c r="D475" s="5">
        <v>0.1082</v>
      </c>
      <c r="E475" s="4">
        <v>1</v>
      </c>
      <c r="F475" s="4">
        <v>0</v>
      </c>
      <c r="G475" s="6">
        <v>1000</v>
      </c>
      <c r="H475" s="4">
        <v>58</v>
      </c>
      <c r="I475" s="4">
        <v>-12</v>
      </c>
      <c r="J475" s="4">
        <v>-92</v>
      </c>
    </row>
    <row r="476" spans="2:10">
      <c r="B476" s="4">
        <v>3297</v>
      </c>
      <c r="C476" s="4" t="s">
        <v>482</v>
      </c>
      <c r="D476" s="5">
        <v>0.1638</v>
      </c>
      <c r="E476" s="4">
        <v>1</v>
      </c>
      <c r="F476" s="4">
        <v>0</v>
      </c>
      <c r="G476" s="6">
        <v>1000</v>
      </c>
      <c r="H476" s="4">
        <v>114</v>
      </c>
      <c r="I476" s="4">
        <v>44</v>
      </c>
      <c r="J476" s="4">
        <v>-36</v>
      </c>
    </row>
    <row r="477" spans="2:10">
      <c r="B477" s="4">
        <v>3299</v>
      </c>
      <c r="C477" s="4" t="s">
        <v>483</v>
      </c>
      <c r="D477" s="5">
        <v>9.8799999999999999E-2</v>
      </c>
      <c r="E477" s="4">
        <v>3</v>
      </c>
      <c r="F477" s="4">
        <v>0</v>
      </c>
      <c r="G477" s="6">
        <v>3000</v>
      </c>
      <c r="H477" s="4">
        <v>146</v>
      </c>
      <c r="I477" s="4">
        <v>-64</v>
      </c>
      <c r="J477" s="4">
        <v>-304</v>
      </c>
    </row>
    <row r="478" spans="2:10">
      <c r="B478" s="4">
        <v>3305</v>
      </c>
      <c r="C478" s="4" t="s">
        <v>484</v>
      </c>
      <c r="D478" s="5">
        <v>7.4099999999999999E-2</v>
      </c>
      <c r="E478" s="4">
        <v>2</v>
      </c>
      <c r="F478" s="4">
        <v>0.5</v>
      </c>
      <c r="G478" s="6">
        <v>2500</v>
      </c>
      <c r="H478" s="4">
        <v>60</v>
      </c>
      <c r="I478" s="4">
        <v>-115</v>
      </c>
      <c r="J478" s="4">
        <v>-315</v>
      </c>
    </row>
    <row r="479" spans="2:10">
      <c r="B479" s="4">
        <v>3306</v>
      </c>
      <c r="C479" s="4" t="s">
        <v>485</v>
      </c>
      <c r="D479" s="5">
        <v>8.9300000000000004E-2</v>
      </c>
      <c r="E479" s="4">
        <v>1.6</v>
      </c>
      <c r="F479" s="4">
        <v>0</v>
      </c>
      <c r="G479" s="6">
        <v>1600</v>
      </c>
      <c r="H479" s="4">
        <v>63</v>
      </c>
      <c r="I479" s="4">
        <v>-49</v>
      </c>
      <c r="J479" s="4">
        <v>-177</v>
      </c>
    </row>
    <row r="480" spans="2:10">
      <c r="B480" s="4">
        <v>3311</v>
      </c>
      <c r="C480" s="4" t="s">
        <v>486</v>
      </c>
      <c r="D480" s="5">
        <v>0.11260000000000001</v>
      </c>
      <c r="E480" s="4">
        <v>6.15</v>
      </c>
      <c r="F480" s="4">
        <v>0.1</v>
      </c>
      <c r="G480" s="6">
        <v>6250</v>
      </c>
      <c r="H480" s="4">
        <v>391</v>
      </c>
      <c r="I480" s="4">
        <v>-46</v>
      </c>
      <c r="J480" s="4">
        <v>-546</v>
      </c>
    </row>
    <row r="481" spans="2:10">
      <c r="B481" s="4">
        <v>3312</v>
      </c>
      <c r="C481" s="4" t="s">
        <v>487</v>
      </c>
      <c r="D481" s="5">
        <v>0.3165</v>
      </c>
      <c r="E481" s="4">
        <v>0.45</v>
      </c>
      <c r="F481" s="4">
        <v>0</v>
      </c>
      <c r="G481" s="4">
        <v>450</v>
      </c>
      <c r="H481" s="4">
        <v>120</v>
      </c>
      <c r="I481" s="4">
        <v>88</v>
      </c>
      <c r="J481" s="4">
        <v>52</v>
      </c>
    </row>
    <row r="482" spans="2:10">
      <c r="B482" s="4">
        <v>3315</v>
      </c>
      <c r="C482" s="4" t="s">
        <v>488</v>
      </c>
      <c r="D482" s="5">
        <v>0.23849999999999999</v>
      </c>
      <c r="E482" s="4">
        <v>2.5</v>
      </c>
      <c r="F482" s="4">
        <v>0</v>
      </c>
      <c r="G482" s="6">
        <v>2500</v>
      </c>
      <c r="H482" s="4">
        <v>471</v>
      </c>
      <c r="I482" s="4">
        <v>296</v>
      </c>
      <c r="J482" s="4">
        <v>96</v>
      </c>
    </row>
    <row r="483" spans="2:10">
      <c r="B483" s="4">
        <v>3317</v>
      </c>
      <c r="C483" s="4" t="s">
        <v>489</v>
      </c>
      <c r="D483" s="5">
        <v>0.1007</v>
      </c>
      <c r="E483" s="4">
        <v>0.4</v>
      </c>
      <c r="F483" s="4">
        <v>0</v>
      </c>
      <c r="G483" s="4">
        <v>400</v>
      </c>
      <c r="H483" s="4">
        <v>20</v>
      </c>
      <c r="I483" s="4">
        <v>-8</v>
      </c>
      <c r="J483" s="4">
        <v>-40</v>
      </c>
    </row>
    <row r="484" spans="2:10">
      <c r="B484" s="4">
        <v>3323</v>
      </c>
      <c r="C484" s="4" t="s">
        <v>490</v>
      </c>
      <c r="D484" s="5">
        <v>0.37069999999999997</v>
      </c>
      <c r="E484" s="4">
        <v>1.5</v>
      </c>
      <c r="F484" s="4">
        <v>0</v>
      </c>
      <c r="G484" s="6">
        <v>1500</v>
      </c>
      <c r="H484" s="4">
        <v>481</v>
      </c>
      <c r="I484" s="4">
        <v>376</v>
      </c>
      <c r="J484" s="4">
        <v>256</v>
      </c>
    </row>
    <row r="485" spans="2:10">
      <c r="B485" s="4">
        <v>3325</v>
      </c>
      <c r="C485" s="4" t="s">
        <v>491</v>
      </c>
      <c r="D485" s="5">
        <v>0.217</v>
      </c>
      <c r="E485" s="4">
        <v>0.5</v>
      </c>
      <c r="F485" s="4">
        <v>0</v>
      </c>
      <c r="G485" s="4">
        <v>500</v>
      </c>
      <c r="H485" s="4">
        <v>84</v>
      </c>
      <c r="I485" s="4">
        <v>49</v>
      </c>
      <c r="J485" s="4">
        <v>9</v>
      </c>
    </row>
    <row r="486" spans="2:10">
      <c r="B486" s="4">
        <v>3332</v>
      </c>
      <c r="C486" s="4" t="s">
        <v>492</v>
      </c>
      <c r="D486" s="5">
        <v>9.6699999999999994E-2</v>
      </c>
      <c r="E486" s="4">
        <v>4</v>
      </c>
      <c r="F486" s="4">
        <v>0</v>
      </c>
      <c r="G486" s="6">
        <v>4000</v>
      </c>
      <c r="H486" s="4">
        <v>187</v>
      </c>
      <c r="I486" s="4">
        <v>-93</v>
      </c>
      <c r="J486" s="4">
        <v>-413</v>
      </c>
    </row>
    <row r="487" spans="2:10">
      <c r="B487" s="4">
        <v>3339</v>
      </c>
      <c r="C487" s="4" t="s">
        <v>493</v>
      </c>
      <c r="D487" s="5">
        <v>0</v>
      </c>
      <c r="E487" s="4">
        <v>1</v>
      </c>
      <c r="F487" s="4">
        <v>0</v>
      </c>
      <c r="G487" s="6">
        <v>1000</v>
      </c>
      <c r="H487" s="4">
        <v>-50</v>
      </c>
      <c r="I487" s="4">
        <v>-120</v>
      </c>
      <c r="J487" s="4">
        <v>-200</v>
      </c>
    </row>
    <row r="488" spans="2:10">
      <c r="B488" s="4">
        <v>3354</v>
      </c>
      <c r="C488" s="4" t="s">
        <v>494</v>
      </c>
      <c r="D488" s="5">
        <v>6.2399999999999997E-2</v>
      </c>
      <c r="E488" s="4">
        <v>0.6</v>
      </c>
      <c r="F488" s="4">
        <v>0.25379000000000002</v>
      </c>
      <c r="G488" s="4">
        <v>854</v>
      </c>
      <c r="H488" s="4">
        <v>11</v>
      </c>
      <c r="I488" s="4">
        <v>-49</v>
      </c>
      <c r="J488" s="4">
        <v>-117</v>
      </c>
    </row>
    <row r="489" spans="2:10">
      <c r="B489" s="4">
        <v>3356</v>
      </c>
      <c r="C489" s="4" t="s">
        <v>495</v>
      </c>
      <c r="D489" s="5">
        <v>0.25269999999999998</v>
      </c>
      <c r="E489" s="4">
        <v>5</v>
      </c>
      <c r="F489" s="4">
        <v>1</v>
      </c>
      <c r="G489" s="6">
        <v>6000</v>
      </c>
      <c r="H489" s="4">
        <v>1216</v>
      </c>
      <c r="I489" s="4">
        <v>796</v>
      </c>
      <c r="J489" s="4">
        <v>316</v>
      </c>
    </row>
    <row r="490" spans="2:10">
      <c r="B490" s="4">
        <v>3360</v>
      </c>
      <c r="C490" s="4" t="s">
        <v>496</v>
      </c>
      <c r="D490" s="5">
        <v>0.13600000000000001</v>
      </c>
      <c r="E490" s="4">
        <v>0.5</v>
      </c>
      <c r="F490" s="4">
        <v>0</v>
      </c>
      <c r="G490" s="4">
        <v>500</v>
      </c>
      <c r="H490" s="4">
        <v>43</v>
      </c>
      <c r="I490" s="4">
        <v>8</v>
      </c>
      <c r="J490" s="4">
        <v>-32</v>
      </c>
    </row>
    <row r="491" spans="2:10">
      <c r="B491" s="4">
        <v>3363</v>
      </c>
      <c r="C491" s="4" t="s">
        <v>497</v>
      </c>
      <c r="D491" s="5">
        <v>6.9099999999999995E-2</v>
      </c>
      <c r="E491" s="4">
        <v>1.2</v>
      </c>
      <c r="F491" s="4">
        <v>0</v>
      </c>
      <c r="G491" s="6">
        <v>1200</v>
      </c>
      <c r="H491" s="4">
        <v>23</v>
      </c>
      <c r="I491" s="4">
        <v>-61</v>
      </c>
      <c r="J491" s="4">
        <v>-157</v>
      </c>
    </row>
    <row r="492" spans="2:10">
      <c r="B492" s="4">
        <v>3367</v>
      </c>
      <c r="C492" s="4" t="s">
        <v>498</v>
      </c>
      <c r="D492" s="5">
        <v>0.20680000000000001</v>
      </c>
      <c r="E492" s="4">
        <v>0.95</v>
      </c>
      <c r="F492" s="4">
        <v>0</v>
      </c>
      <c r="G492" s="4">
        <v>950</v>
      </c>
      <c r="H492" s="4">
        <v>149</v>
      </c>
      <c r="I492" s="4">
        <v>82</v>
      </c>
      <c r="J492" s="4">
        <v>6</v>
      </c>
    </row>
    <row r="493" spans="2:10">
      <c r="B493" s="4">
        <v>3373</v>
      </c>
      <c r="C493" s="4" t="s">
        <v>499</v>
      </c>
      <c r="D493" s="5">
        <v>0.15340000000000001</v>
      </c>
      <c r="E493" s="4">
        <v>1.47</v>
      </c>
      <c r="F493" s="4">
        <v>0</v>
      </c>
      <c r="G493" s="6">
        <v>1470</v>
      </c>
      <c r="H493" s="4">
        <v>152</v>
      </c>
      <c r="I493" s="4">
        <v>49</v>
      </c>
      <c r="J493" s="4">
        <v>-69</v>
      </c>
    </row>
    <row r="494" spans="2:10">
      <c r="B494" s="4">
        <v>3376</v>
      </c>
      <c r="C494" s="4" t="s">
        <v>500</v>
      </c>
      <c r="D494" s="5">
        <v>0.2117</v>
      </c>
      <c r="E494" s="4">
        <v>3</v>
      </c>
      <c r="F494" s="4">
        <v>0</v>
      </c>
      <c r="G494" s="6">
        <v>3000</v>
      </c>
      <c r="H494" s="4">
        <v>485</v>
      </c>
      <c r="I494" s="4">
        <v>275</v>
      </c>
      <c r="J494" s="4">
        <v>35</v>
      </c>
    </row>
    <row r="495" spans="2:10">
      <c r="B495" s="4">
        <v>3380</v>
      </c>
      <c r="C495" s="4" t="s">
        <v>501</v>
      </c>
      <c r="D495" s="5">
        <v>0.12540000000000001</v>
      </c>
      <c r="E495" s="4">
        <v>1.5</v>
      </c>
      <c r="F495" s="4">
        <v>0</v>
      </c>
      <c r="G495" s="6">
        <v>1500</v>
      </c>
      <c r="H495" s="4">
        <v>113</v>
      </c>
      <c r="I495" s="4">
        <v>8</v>
      </c>
      <c r="J495" s="4">
        <v>-112</v>
      </c>
    </row>
    <row r="496" spans="2:10">
      <c r="B496" s="4">
        <v>3383</v>
      </c>
      <c r="C496" s="4" t="s">
        <v>502</v>
      </c>
      <c r="D496" s="5">
        <v>3.2000000000000002E-3</v>
      </c>
      <c r="E496" s="4">
        <v>0</v>
      </c>
      <c r="F496" s="4">
        <v>2.2999999999999998</v>
      </c>
      <c r="G496" s="6">
        <v>2300</v>
      </c>
      <c r="H496" s="4">
        <v>-108</v>
      </c>
      <c r="I496" s="4">
        <v>-269</v>
      </c>
      <c r="J496" s="4">
        <v>-453</v>
      </c>
    </row>
    <row r="497" spans="2:10">
      <c r="B497" s="4">
        <v>3388</v>
      </c>
      <c r="C497" s="4" t="s">
        <v>503</v>
      </c>
      <c r="D497" s="5">
        <v>0.18340000000000001</v>
      </c>
      <c r="E497" s="4">
        <v>6</v>
      </c>
      <c r="F497" s="4">
        <v>0</v>
      </c>
      <c r="G497" s="6">
        <v>6000</v>
      </c>
      <c r="H497" s="4">
        <v>800</v>
      </c>
      <c r="I497" s="4">
        <v>380</v>
      </c>
      <c r="J497" s="4">
        <v>-100</v>
      </c>
    </row>
    <row r="498" spans="2:10">
      <c r="B498" s="4">
        <v>3389</v>
      </c>
      <c r="C498" s="4" t="s">
        <v>504</v>
      </c>
      <c r="D498" s="5">
        <v>0.21160000000000001</v>
      </c>
      <c r="E498" s="4">
        <v>2.5</v>
      </c>
      <c r="F498" s="4">
        <v>0.2</v>
      </c>
      <c r="G498" s="6">
        <v>2700</v>
      </c>
      <c r="H498" s="4">
        <v>436</v>
      </c>
      <c r="I498" s="4">
        <v>247</v>
      </c>
      <c r="J498" s="4">
        <v>31</v>
      </c>
    </row>
    <row r="499" spans="2:10">
      <c r="B499" s="4">
        <v>3390</v>
      </c>
      <c r="C499" s="4" t="s">
        <v>505</v>
      </c>
      <c r="D499" s="5">
        <v>0.113</v>
      </c>
      <c r="E499" s="4">
        <v>1.2</v>
      </c>
      <c r="F499" s="4">
        <v>1</v>
      </c>
      <c r="G499" s="6">
        <v>2200</v>
      </c>
      <c r="H499" s="4">
        <v>139</v>
      </c>
      <c r="I499" s="4">
        <v>-15</v>
      </c>
      <c r="J499" s="4">
        <v>-191</v>
      </c>
    </row>
    <row r="500" spans="2:10">
      <c r="B500" s="4">
        <v>3402</v>
      </c>
      <c r="C500" s="4" t="s">
        <v>506</v>
      </c>
      <c r="D500" s="5">
        <v>0.35</v>
      </c>
      <c r="E500" s="4">
        <v>1.3972199999999999</v>
      </c>
      <c r="F500" s="4">
        <v>1.3344100000000001</v>
      </c>
      <c r="G500" s="6">
        <v>2732</v>
      </c>
      <c r="H500" s="4">
        <v>819</v>
      </c>
      <c r="I500" s="4">
        <v>628</v>
      </c>
      <c r="J500" s="4">
        <v>410</v>
      </c>
    </row>
    <row r="501" spans="2:10">
      <c r="B501" s="4">
        <v>3406</v>
      </c>
      <c r="C501" s="4" t="s">
        <v>507</v>
      </c>
      <c r="D501" s="5">
        <v>0.20480000000000001</v>
      </c>
      <c r="E501" s="4">
        <v>1.5</v>
      </c>
      <c r="F501" s="4">
        <v>0</v>
      </c>
      <c r="G501" s="6">
        <v>1500</v>
      </c>
      <c r="H501" s="4">
        <v>232</v>
      </c>
      <c r="I501" s="4">
        <v>127</v>
      </c>
      <c r="J501" s="4">
        <v>7</v>
      </c>
    </row>
    <row r="502" spans="2:10">
      <c r="B502" s="4">
        <v>3416</v>
      </c>
      <c r="C502" s="4" t="s">
        <v>508</v>
      </c>
      <c r="D502" s="5">
        <v>0.17369999999999999</v>
      </c>
      <c r="E502" s="4">
        <v>4</v>
      </c>
      <c r="F502" s="4">
        <v>0.5</v>
      </c>
      <c r="G502" s="6">
        <v>4500</v>
      </c>
      <c r="H502" s="4">
        <v>557</v>
      </c>
      <c r="I502" s="4">
        <v>242</v>
      </c>
      <c r="J502" s="4">
        <v>-118</v>
      </c>
    </row>
    <row r="503" spans="2:10">
      <c r="B503" s="4">
        <v>3432</v>
      </c>
      <c r="C503" s="4" t="s">
        <v>509</v>
      </c>
      <c r="D503" s="5">
        <v>0.23449999999999999</v>
      </c>
      <c r="E503" s="4">
        <v>0.5</v>
      </c>
      <c r="F503" s="4">
        <v>0</v>
      </c>
      <c r="G503" s="4">
        <v>500</v>
      </c>
      <c r="H503" s="4">
        <v>92</v>
      </c>
      <c r="I503" s="4">
        <v>57</v>
      </c>
      <c r="J503" s="4">
        <v>17</v>
      </c>
    </row>
    <row r="504" spans="2:10">
      <c r="B504" s="4">
        <v>3438</v>
      </c>
      <c r="C504" s="4" t="s">
        <v>510</v>
      </c>
      <c r="D504" s="5">
        <v>3.5299999999999998E-2</v>
      </c>
      <c r="E504" s="4">
        <v>3.2</v>
      </c>
      <c r="F504" s="4">
        <v>0</v>
      </c>
      <c r="G504" s="6">
        <v>3200</v>
      </c>
      <c r="H504" s="4">
        <v>-47</v>
      </c>
      <c r="I504" s="4">
        <v>-271</v>
      </c>
      <c r="J504" s="4">
        <v>-527</v>
      </c>
    </row>
    <row r="505" spans="2:10">
      <c r="B505" s="4">
        <v>3441</v>
      </c>
      <c r="C505" s="4" t="s">
        <v>511</v>
      </c>
      <c r="D505" s="5">
        <v>0.22320000000000001</v>
      </c>
      <c r="E505" s="4">
        <v>0.8</v>
      </c>
      <c r="F505" s="4">
        <v>0</v>
      </c>
      <c r="G505" s="4">
        <v>800</v>
      </c>
      <c r="H505" s="4">
        <v>139</v>
      </c>
      <c r="I505" s="4">
        <v>83</v>
      </c>
      <c r="J505" s="4">
        <v>19</v>
      </c>
    </row>
    <row r="506" spans="2:10">
      <c r="B506" s="4">
        <v>3443</v>
      </c>
      <c r="C506" s="4" t="s">
        <v>512</v>
      </c>
      <c r="D506" s="5">
        <v>7.7200000000000005E-2</v>
      </c>
      <c r="E506" s="4">
        <v>3</v>
      </c>
      <c r="F506" s="4">
        <v>0</v>
      </c>
      <c r="G506" s="6">
        <v>3000</v>
      </c>
      <c r="H506" s="4">
        <v>82</v>
      </c>
      <c r="I506" s="4">
        <v>-128</v>
      </c>
      <c r="J506" s="4">
        <v>-368</v>
      </c>
    </row>
    <row r="507" spans="2:10">
      <c r="B507" s="4">
        <v>3444</v>
      </c>
      <c r="C507" s="4" t="s">
        <v>513</v>
      </c>
      <c r="D507" s="5">
        <v>0.22520000000000001</v>
      </c>
      <c r="E507" s="4">
        <v>1</v>
      </c>
      <c r="F507" s="4">
        <v>1</v>
      </c>
      <c r="G507" s="6">
        <v>2000</v>
      </c>
      <c r="H507" s="4">
        <v>350</v>
      </c>
      <c r="I507" s="4">
        <v>210</v>
      </c>
      <c r="J507" s="4">
        <v>50</v>
      </c>
    </row>
    <row r="508" spans="2:10">
      <c r="B508" s="4">
        <v>3450</v>
      </c>
      <c r="C508" s="4" t="s">
        <v>514</v>
      </c>
      <c r="D508" s="5">
        <v>0.12039999999999999</v>
      </c>
      <c r="E508" s="4">
        <v>4</v>
      </c>
      <c r="F508" s="4">
        <v>0</v>
      </c>
      <c r="G508" s="6">
        <v>4000</v>
      </c>
      <c r="H508" s="4">
        <v>282</v>
      </c>
      <c r="I508" s="4">
        <v>2</v>
      </c>
      <c r="J508" s="4">
        <v>-318</v>
      </c>
    </row>
    <row r="509" spans="2:10">
      <c r="B509" s="4">
        <v>3454</v>
      </c>
      <c r="C509" s="4" t="s">
        <v>515</v>
      </c>
      <c r="D509" s="5">
        <v>0.19040000000000001</v>
      </c>
      <c r="E509" s="4">
        <v>2.4</v>
      </c>
      <c r="F509" s="4">
        <v>0.35</v>
      </c>
      <c r="G509" s="6">
        <v>2750</v>
      </c>
      <c r="H509" s="4">
        <v>386</v>
      </c>
      <c r="I509" s="4">
        <v>194</v>
      </c>
      <c r="J509" s="4">
        <v>-26</v>
      </c>
    </row>
    <row r="510" spans="2:10">
      <c r="B510" s="4">
        <v>3455</v>
      </c>
      <c r="C510" s="4" t="s">
        <v>516</v>
      </c>
      <c r="D510" s="5">
        <v>0.11020000000000001</v>
      </c>
      <c r="E510" s="4">
        <v>3.4573299999999998</v>
      </c>
      <c r="F510" s="4">
        <v>0</v>
      </c>
      <c r="G510" s="6">
        <v>3457</v>
      </c>
      <c r="H510" s="4">
        <v>208</v>
      </c>
      <c r="I510" s="4">
        <v>-34</v>
      </c>
      <c r="J510" s="4">
        <v>-310</v>
      </c>
    </row>
    <row r="511" spans="2:10">
      <c r="B511" s="4">
        <v>3466</v>
      </c>
      <c r="C511" s="4" t="s">
        <v>517</v>
      </c>
      <c r="D511" s="5">
        <v>0.24759999999999999</v>
      </c>
      <c r="E511" s="4">
        <v>1</v>
      </c>
      <c r="F511" s="4">
        <v>0</v>
      </c>
      <c r="G511" s="6">
        <v>1000</v>
      </c>
      <c r="H511" s="4">
        <v>198</v>
      </c>
      <c r="I511" s="4">
        <v>128</v>
      </c>
      <c r="J511" s="4">
        <v>48</v>
      </c>
    </row>
    <row r="512" spans="2:10">
      <c r="B512" s="4">
        <v>3479</v>
      </c>
      <c r="C512" s="4" t="s">
        <v>518</v>
      </c>
      <c r="D512" s="5">
        <v>0.10780000000000001</v>
      </c>
      <c r="E512" s="4">
        <v>2.8</v>
      </c>
      <c r="F512" s="4">
        <v>0</v>
      </c>
      <c r="G512" s="6">
        <v>2800</v>
      </c>
      <c r="H512" s="4">
        <v>162</v>
      </c>
      <c r="I512" s="4">
        <v>-34</v>
      </c>
      <c r="J512" s="4">
        <v>-258</v>
      </c>
    </row>
    <row r="513" spans="2:10">
      <c r="B513" s="4">
        <v>3483</v>
      </c>
      <c r="C513" s="4" t="s">
        <v>519</v>
      </c>
      <c r="D513" s="5">
        <v>0.18540000000000001</v>
      </c>
      <c r="E513" s="4">
        <v>0.3</v>
      </c>
      <c r="F513" s="4">
        <v>0</v>
      </c>
      <c r="G513" s="4">
        <v>300</v>
      </c>
      <c r="H513" s="4">
        <v>41</v>
      </c>
      <c r="I513" s="4">
        <v>20</v>
      </c>
      <c r="J513" s="4">
        <v>-4</v>
      </c>
    </row>
    <row r="514" spans="2:10">
      <c r="B514" s="4">
        <v>3484</v>
      </c>
      <c r="C514" s="4" t="s">
        <v>520</v>
      </c>
      <c r="D514" s="5">
        <v>0.12559999999999999</v>
      </c>
      <c r="E514" s="4">
        <v>1.3</v>
      </c>
      <c r="F514" s="4">
        <v>0.6</v>
      </c>
      <c r="G514" s="6">
        <v>1900</v>
      </c>
      <c r="H514" s="4">
        <v>144</v>
      </c>
      <c r="I514" s="4">
        <v>11</v>
      </c>
      <c r="J514" s="4">
        <v>-141</v>
      </c>
    </row>
    <row r="515" spans="2:10">
      <c r="B515" s="4">
        <v>3490</v>
      </c>
      <c r="C515" s="4" t="s">
        <v>521</v>
      </c>
      <c r="D515" s="5">
        <v>2.1100000000000001E-2</v>
      </c>
      <c r="E515" s="4">
        <v>3.5</v>
      </c>
      <c r="F515" s="4">
        <v>0</v>
      </c>
      <c r="G515" s="6">
        <v>3500</v>
      </c>
      <c r="H515" s="4">
        <v>-101</v>
      </c>
      <c r="I515" s="4">
        <v>-346</v>
      </c>
      <c r="J515" s="4">
        <v>-626</v>
      </c>
    </row>
    <row r="516" spans="2:10">
      <c r="B516" s="4">
        <v>3491</v>
      </c>
      <c r="C516" s="4" t="s">
        <v>522</v>
      </c>
      <c r="D516" s="5">
        <v>0.26200000000000001</v>
      </c>
      <c r="E516" s="4">
        <v>2.25</v>
      </c>
      <c r="F516" s="4">
        <v>0</v>
      </c>
      <c r="G516" s="6">
        <v>2250</v>
      </c>
      <c r="H516" s="4">
        <v>477</v>
      </c>
      <c r="I516" s="4">
        <v>320</v>
      </c>
      <c r="J516" s="4">
        <v>140</v>
      </c>
    </row>
    <row r="517" spans="2:10">
      <c r="B517" s="4">
        <v>3494</v>
      </c>
      <c r="C517" s="4" t="s">
        <v>523</v>
      </c>
      <c r="D517" s="5">
        <v>4.07E-2</v>
      </c>
      <c r="E517" s="4">
        <v>0.54100000000000004</v>
      </c>
      <c r="F517" s="4">
        <v>0.9</v>
      </c>
      <c r="G517" s="6">
        <v>1441</v>
      </c>
      <c r="H517" s="4">
        <v>-13</v>
      </c>
      <c r="I517" s="4">
        <v>-114</v>
      </c>
      <c r="J517" s="4">
        <v>-230</v>
      </c>
    </row>
    <row r="518" spans="2:10">
      <c r="B518" s="4">
        <v>3501</v>
      </c>
      <c r="C518" s="4" t="s">
        <v>524</v>
      </c>
      <c r="D518" s="5">
        <v>0.27189999999999998</v>
      </c>
      <c r="E518" s="4">
        <v>3.8</v>
      </c>
      <c r="F518" s="4">
        <v>0.2</v>
      </c>
      <c r="G518" s="6">
        <v>4000</v>
      </c>
      <c r="H518" s="4">
        <v>888</v>
      </c>
      <c r="I518" s="4">
        <v>608</v>
      </c>
      <c r="J518" s="4">
        <v>288</v>
      </c>
    </row>
    <row r="519" spans="2:10">
      <c r="B519" s="4">
        <v>3504</v>
      </c>
      <c r="C519" s="4" t="s">
        <v>525</v>
      </c>
      <c r="D519" s="5">
        <v>5.04E-2</v>
      </c>
      <c r="E519" s="4">
        <v>3.75</v>
      </c>
      <c r="F519" s="4">
        <v>0</v>
      </c>
      <c r="G519" s="6">
        <v>3750</v>
      </c>
      <c r="H519" s="4">
        <v>2</v>
      </c>
      <c r="I519" s="4">
        <v>-261</v>
      </c>
      <c r="J519" s="4">
        <v>-561</v>
      </c>
    </row>
    <row r="520" spans="2:10">
      <c r="B520" s="4">
        <v>3508</v>
      </c>
      <c r="C520" s="4" t="s">
        <v>526</v>
      </c>
      <c r="D520" s="5">
        <v>0.21890000000000001</v>
      </c>
      <c r="E520" s="4">
        <v>0.73</v>
      </c>
      <c r="F520" s="4">
        <v>0</v>
      </c>
      <c r="G520" s="4">
        <v>730</v>
      </c>
      <c r="H520" s="4">
        <v>123</v>
      </c>
      <c r="I520" s="4">
        <v>72</v>
      </c>
      <c r="J520" s="4">
        <v>14</v>
      </c>
    </row>
    <row r="521" spans="2:10">
      <c r="B521" s="4">
        <v>3511</v>
      </c>
      <c r="C521" s="4" t="s">
        <v>527</v>
      </c>
      <c r="D521" s="5">
        <v>0.15690000000000001</v>
      </c>
      <c r="E521" s="4">
        <v>4</v>
      </c>
      <c r="F521" s="4">
        <v>0</v>
      </c>
      <c r="G521" s="6">
        <v>4000</v>
      </c>
      <c r="H521" s="4">
        <v>428</v>
      </c>
      <c r="I521" s="4">
        <v>148</v>
      </c>
      <c r="J521" s="4">
        <v>-172</v>
      </c>
    </row>
    <row r="522" spans="2:10">
      <c r="B522" s="4">
        <v>3514</v>
      </c>
      <c r="C522" s="4" t="s">
        <v>528</v>
      </c>
      <c r="D522" s="5">
        <v>6.5799999999999997E-2</v>
      </c>
      <c r="E522" s="4">
        <v>6</v>
      </c>
      <c r="F522" s="4">
        <v>0.5</v>
      </c>
      <c r="G522" s="6">
        <v>6500</v>
      </c>
      <c r="H522" s="4">
        <v>103</v>
      </c>
      <c r="I522" s="4">
        <v>-352</v>
      </c>
      <c r="J522" s="4">
        <v>-872</v>
      </c>
    </row>
    <row r="523" spans="2:10">
      <c r="B523" s="4">
        <v>3515</v>
      </c>
      <c r="C523" s="4" t="s">
        <v>529</v>
      </c>
      <c r="D523" s="5">
        <v>0</v>
      </c>
      <c r="E523" s="4">
        <v>9</v>
      </c>
      <c r="F523" s="4">
        <v>0</v>
      </c>
      <c r="G523" s="6">
        <v>9000</v>
      </c>
      <c r="H523" s="4">
        <v>-450</v>
      </c>
      <c r="I523" s="4">
        <v>-1080</v>
      </c>
      <c r="J523" s="4">
        <v>-1800</v>
      </c>
    </row>
    <row r="524" spans="2:10">
      <c r="B524" s="4">
        <v>3518</v>
      </c>
      <c r="C524" s="4" t="s">
        <v>530</v>
      </c>
      <c r="D524" s="5">
        <v>1.32E-2</v>
      </c>
      <c r="E524" s="4">
        <v>2.5</v>
      </c>
      <c r="F524" s="4">
        <v>0</v>
      </c>
      <c r="G524" s="6">
        <v>2500</v>
      </c>
      <c r="H524" s="4">
        <v>-92</v>
      </c>
      <c r="I524" s="4">
        <v>-267</v>
      </c>
      <c r="J524" s="4">
        <v>-467</v>
      </c>
    </row>
    <row r="525" spans="2:10">
      <c r="B525" s="4">
        <v>3519</v>
      </c>
      <c r="C525" s="4" t="s">
        <v>531</v>
      </c>
      <c r="D525" s="5">
        <v>0.115</v>
      </c>
      <c r="E525" s="4">
        <v>1.8</v>
      </c>
      <c r="F525" s="4">
        <v>1.2</v>
      </c>
      <c r="G525" s="6">
        <v>3000</v>
      </c>
      <c r="H525" s="4">
        <v>195</v>
      </c>
      <c r="I525" s="4">
        <v>-15</v>
      </c>
      <c r="J525" s="4">
        <v>-255</v>
      </c>
    </row>
    <row r="526" spans="2:10">
      <c r="B526" s="4">
        <v>3522</v>
      </c>
      <c r="C526" s="4" t="s">
        <v>532</v>
      </c>
      <c r="D526" s="5">
        <v>9.5299999999999996E-2</v>
      </c>
      <c r="E526" s="4">
        <v>1.2</v>
      </c>
      <c r="F526" s="4">
        <v>0</v>
      </c>
      <c r="G526" s="6">
        <v>1200</v>
      </c>
      <c r="H526" s="4">
        <v>54</v>
      </c>
      <c r="I526" s="4">
        <v>-30</v>
      </c>
      <c r="J526" s="4">
        <v>-126</v>
      </c>
    </row>
    <row r="527" spans="2:10">
      <c r="B527" s="4">
        <v>3526</v>
      </c>
      <c r="C527" s="4" t="s">
        <v>533</v>
      </c>
      <c r="D527" s="5">
        <v>0.21529999999999999</v>
      </c>
      <c r="E527" s="4">
        <v>4.7</v>
      </c>
      <c r="F527" s="4">
        <v>0.82</v>
      </c>
      <c r="G527" s="6">
        <v>5520</v>
      </c>
      <c r="H527" s="4">
        <v>912</v>
      </c>
      <c r="I527" s="4">
        <v>526</v>
      </c>
      <c r="J527" s="4">
        <v>84</v>
      </c>
    </row>
    <row r="528" spans="2:10">
      <c r="B528" s="4">
        <v>3527</v>
      </c>
      <c r="C528" s="4" t="s">
        <v>534</v>
      </c>
      <c r="D528" s="5">
        <v>3.5999999999999999E-3</v>
      </c>
      <c r="E528" s="4">
        <v>8</v>
      </c>
      <c r="F528" s="4">
        <v>0</v>
      </c>
      <c r="G528" s="6">
        <v>8000</v>
      </c>
      <c r="H528" s="4">
        <v>-371</v>
      </c>
      <c r="I528" s="4">
        <v>-931</v>
      </c>
      <c r="J528" s="4">
        <v>-1571</v>
      </c>
    </row>
    <row r="529" spans="2:10">
      <c r="B529" s="4">
        <v>3528</v>
      </c>
      <c r="C529" s="4" t="s">
        <v>535</v>
      </c>
      <c r="D529" s="5">
        <v>0.26250000000000001</v>
      </c>
      <c r="E529" s="4">
        <v>2</v>
      </c>
      <c r="F529" s="4">
        <v>1</v>
      </c>
      <c r="G529" s="6">
        <v>3000</v>
      </c>
      <c r="H529" s="4">
        <v>638</v>
      </c>
      <c r="I529" s="4">
        <v>428</v>
      </c>
      <c r="J529" s="4">
        <v>188</v>
      </c>
    </row>
    <row r="530" spans="2:10">
      <c r="B530" s="4">
        <v>3529</v>
      </c>
      <c r="C530" s="4" t="s">
        <v>536</v>
      </c>
      <c r="D530" s="5">
        <v>4.0000000000000002E-4</v>
      </c>
      <c r="E530" s="4">
        <v>2.5</v>
      </c>
      <c r="F530" s="4">
        <v>0</v>
      </c>
      <c r="G530" s="6">
        <v>2500</v>
      </c>
      <c r="H530" s="4">
        <v>-124</v>
      </c>
      <c r="I530" s="4">
        <v>-299</v>
      </c>
      <c r="J530" s="4">
        <v>-499</v>
      </c>
    </row>
    <row r="531" spans="2:10">
      <c r="B531" s="4">
        <v>3531</v>
      </c>
      <c r="C531" s="4" t="s">
        <v>537</v>
      </c>
      <c r="D531" s="5">
        <v>0.1573</v>
      </c>
      <c r="E531" s="4">
        <v>1.2</v>
      </c>
      <c r="F531" s="4">
        <v>0</v>
      </c>
      <c r="G531" s="6">
        <v>1200</v>
      </c>
      <c r="H531" s="4">
        <v>129</v>
      </c>
      <c r="I531" s="4">
        <v>45</v>
      </c>
      <c r="J531" s="4">
        <v>-51</v>
      </c>
    </row>
    <row r="532" spans="2:10">
      <c r="B532" s="4">
        <v>3532</v>
      </c>
      <c r="C532" s="4" t="s">
        <v>538</v>
      </c>
      <c r="D532" s="5">
        <v>7.7499999999999999E-2</v>
      </c>
      <c r="E532" s="4">
        <v>0.4</v>
      </c>
      <c r="F532" s="4">
        <v>0</v>
      </c>
      <c r="G532" s="4">
        <v>400</v>
      </c>
      <c r="H532" s="4">
        <v>11</v>
      </c>
      <c r="I532" s="4">
        <v>-17</v>
      </c>
      <c r="J532" s="4">
        <v>-49</v>
      </c>
    </row>
    <row r="533" spans="2:10">
      <c r="B533" s="4">
        <v>3533</v>
      </c>
      <c r="C533" s="4" t="s">
        <v>539</v>
      </c>
      <c r="D533" s="5">
        <v>0.1812</v>
      </c>
      <c r="E533" s="4">
        <v>7</v>
      </c>
      <c r="F533" s="4">
        <v>0</v>
      </c>
      <c r="G533" s="6">
        <v>7000</v>
      </c>
      <c r="H533" s="4">
        <v>918</v>
      </c>
      <c r="I533" s="4">
        <v>428</v>
      </c>
      <c r="J533" s="4">
        <v>-132</v>
      </c>
    </row>
    <row r="534" spans="2:10">
      <c r="B534" s="4">
        <v>3534</v>
      </c>
      <c r="C534" s="4" t="s">
        <v>540</v>
      </c>
      <c r="D534" s="5">
        <v>3.1399999999999997E-2</v>
      </c>
      <c r="E534" s="4">
        <v>3.9</v>
      </c>
      <c r="F534" s="4">
        <v>0</v>
      </c>
      <c r="G534" s="6">
        <v>3900</v>
      </c>
      <c r="H534" s="4">
        <v>-73</v>
      </c>
      <c r="I534" s="4">
        <v>-346</v>
      </c>
      <c r="J534" s="4">
        <v>-658</v>
      </c>
    </row>
    <row r="535" spans="2:10">
      <c r="B535" s="4">
        <v>3535</v>
      </c>
      <c r="C535" s="4" t="s">
        <v>541</v>
      </c>
      <c r="D535" s="5">
        <v>3.2000000000000002E-3</v>
      </c>
      <c r="E535" s="4">
        <v>1.5</v>
      </c>
      <c r="F535" s="4">
        <v>0.1</v>
      </c>
      <c r="G535" s="6">
        <v>1600</v>
      </c>
      <c r="H535" s="4">
        <v>-75</v>
      </c>
      <c r="I535" s="4">
        <v>-187</v>
      </c>
      <c r="J535" s="4">
        <v>-315</v>
      </c>
    </row>
    <row r="536" spans="2:10">
      <c r="B536" s="4">
        <v>3537</v>
      </c>
      <c r="C536" s="4" t="s">
        <v>542</v>
      </c>
      <c r="D536" s="5">
        <v>0.2301</v>
      </c>
      <c r="E536" s="4">
        <v>1</v>
      </c>
      <c r="F536" s="4">
        <v>0</v>
      </c>
      <c r="G536" s="6">
        <v>1000</v>
      </c>
      <c r="H536" s="4">
        <v>180</v>
      </c>
      <c r="I536" s="4">
        <v>110</v>
      </c>
      <c r="J536" s="4">
        <v>30</v>
      </c>
    </row>
    <row r="537" spans="2:10">
      <c r="B537" s="4">
        <v>3541</v>
      </c>
      <c r="C537" s="4" t="s">
        <v>543</v>
      </c>
      <c r="D537" s="5">
        <v>0.13739999999999999</v>
      </c>
      <c r="E537" s="4">
        <v>2.15</v>
      </c>
      <c r="F537" s="4">
        <v>1</v>
      </c>
      <c r="G537" s="6">
        <v>3150</v>
      </c>
      <c r="H537" s="4">
        <v>275</v>
      </c>
      <c r="I537" s="4">
        <v>55</v>
      </c>
      <c r="J537" s="4">
        <v>-197</v>
      </c>
    </row>
    <row r="538" spans="2:10">
      <c r="B538" s="4">
        <v>3545</v>
      </c>
      <c r="C538" s="4" t="s">
        <v>544</v>
      </c>
      <c r="D538" s="5">
        <v>4.24E-2</v>
      </c>
      <c r="E538" s="4">
        <v>2.8</v>
      </c>
      <c r="F538" s="4">
        <v>0</v>
      </c>
      <c r="G538" s="6">
        <v>2800</v>
      </c>
      <c r="H538" s="4">
        <v>-21</v>
      </c>
      <c r="I538" s="4">
        <v>-217</v>
      </c>
      <c r="J538" s="4">
        <v>-441</v>
      </c>
    </row>
    <row r="539" spans="2:10">
      <c r="B539" s="4">
        <v>3546</v>
      </c>
      <c r="C539" s="4" t="s">
        <v>545</v>
      </c>
      <c r="D539" s="5">
        <v>4.2799999999999998E-2</v>
      </c>
      <c r="E539" s="4">
        <v>8</v>
      </c>
      <c r="F539" s="4">
        <v>0.5</v>
      </c>
      <c r="G539" s="6">
        <v>8500</v>
      </c>
      <c r="H539" s="4">
        <v>-61</v>
      </c>
      <c r="I539" s="4">
        <v>-656</v>
      </c>
      <c r="J539" s="4">
        <v>-1336</v>
      </c>
    </row>
    <row r="540" spans="2:10">
      <c r="B540" s="4">
        <v>3548</v>
      </c>
      <c r="C540" s="4" t="s">
        <v>546</v>
      </c>
      <c r="D540" s="5">
        <v>0.1023</v>
      </c>
      <c r="E540" s="4">
        <v>1</v>
      </c>
      <c r="F540" s="4">
        <v>0</v>
      </c>
      <c r="G540" s="6">
        <v>1000</v>
      </c>
      <c r="H540" s="4">
        <v>52</v>
      </c>
      <c r="I540" s="4">
        <v>-18</v>
      </c>
      <c r="J540" s="4">
        <v>-98</v>
      </c>
    </row>
    <row r="541" spans="2:10">
      <c r="B541" s="4">
        <v>3550</v>
      </c>
      <c r="C541" s="4" t="s">
        <v>547</v>
      </c>
      <c r="D541" s="5">
        <v>3.0800000000000001E-2</v>
      </c>
      <c r="E541" s="4">
        <v>2.5</v>
      </c>
      <c r="F541" s="4">
        <v>0</v>
      </c>
      <c r="G541" s="6">
        <v>2500</v>
      </c>
      <c r="H541" s="4">
        <v>-48</v>
      </c>
      <c r="I541" s="4">
        <v>-223</v>
      </c>
      <c r="J541" s="4">
        <v>-423</v>
      </c>
    </row>
    <row r="542" spans="2:10">
      <c r="B542" s="4">
        <v>3551</v>
      </c>
      <c r="C542" s="4" t="s">
        <v>548</v>
      </c>
      <c r="D542" s="5">
        <v>0.30830000000000002</v>
      </c>
      <c r="E542" s="4">
        <v>2</v>
      </c>
      <c r="F542" s="4">
        <v>0</v>
      </c>
      <c r="G542" s="6">
        <v>2000</v>
      </c>
      <c r="H542" s="4">
        <v>517</v>
      </c>
      <c r="I542" s="4">
        <v>377</v>
      </c>
      <c r="J542" s="4">
        <v>217</v>
      </c>
    </row>
    <row r="543" spans="2:10">
      <c r="B543" s="4">
        <v>3552</v>
      </c>
      <c r="C543" s="4" t="s">
        <v>549</v>
      </c>
      <c r="D543" s="5">
        <v>7.1000000000000004E-3</v>
      </c>
      <c r="E543" s="4">
        <v>1.7</v>
      </c>
      <c r="F543" s="4">
        <v>1.8</v>
      </c>
      <c r="G543" s="6">
        <v>3500</v>
      </c>
      <c r="H543" s="4">
        <v>-150</v>
      </c>
      <c r="I543" s="4">
        <v>-395</v>
      </c>
      <c r="J543" s="4">
        <v>-675</v>
      </c>
    </row>
    <row r="544" spans="2:10">
      <c r="B544" s="4">
        <v>3553</v>
      </c>
      <c r="C544" s="4" t="s">
        <v>550</v>
      </c>
      <c r="D544" s="5">
        <v>0.20480000000000001</v>
      </c>
      <c r="E544" s="4">
        <v>1.1022000000000001</v>
      </c>
      <c r="F544" s="4">
        <v>1.0999000000000001</v>
      </c>
      <c r="G544" s="6">
        <v>2202</v>
      </c>
      <c r="H544" s="4">
        <v>341</v>
      </c>
      <c r="I544" s="4">
        <v>187</v>
      </c>
      <c r="J544" s="4">
        <v>11</v>
      </c>
    </row>
    <row r="545" spans="2:10">
      <c r="B545" s="4">
        <v>3556</v>
      </c>
      <c r="C545" s="4" t="s">
        <v>551</v>
      </c>
      <c r="D545" s="5">
        <v>9.5500000000000002E-2</v>
      </c>
      <c r="E545" s="4">
        <v>2.2999999999999998</v>
      </c>
      <c r="F545" s="4">
        <v>0.5</v>
      </c>
      <c r="G545" s="6">
        <v>2800</v>
      </c>
      <c r="H545" s="4">
        <v>127</v>
      </c>
      <c r="I545" s="4">
        <v>-69</v>
      </c>
      <c r="J545" s="4">
        <v>-293</v>
      </c>
    </row>
    <row r="546" spans="2:10">
      <c r="B546" s="4">
        <v>3559</v>
      </c>
      <c r="C546" s="4" t="s">
        <v>552</v>
      </c>
      <c r="D546" s="5">
        <v>1.7600000000000001E-2</v>
      </c>
      <c r="E546" s="4">
        <v>1.6</v>
      </c>
      <c r="F546" s="4">
        <v>0</v>
      </c>
      <c r="G546" s="6">
        <v>1600</v>
      </c>
      <c r="H546" s="4">
        <v>-52</v>
      </c>
      <c r="I546" s="4">
        <v>-164</v>
      </c>
      <c r="J546" s="4">
        <v>-292</v>
      </c>
    </row>
    <row r="547" spans="2:10">
      <c r="B547" s="4">
        <v>3561</v>
      </c>
      <c r="C547" s="4" t="s">
        <v>553</v>
      </c>
      <c r="D547" s="5">
        <v>7.3300000000000004E-2</v>
      </c>
      <c r="E547" s="4">
        <v>3</v>
      </c>
      <c r="F547" s="4">
        <v>0.5</v>
      </c>
      <c r="G547" s="6">
        <v>3500</v>
      </c>
      <c r="H547" s="4">
        <v>82</v>
      </c>
      <c r="I547" s="4">
        <v>-163</v>
      </c>
      <c r="J547" s="4">
        <v>-443</v>
      </c>
    </row>
    <row r="548" spans="2:10">
      <c r="B548" s="4">
        <v>3563</v>
      </c>
      <c r="C548" s="4" t="s">
        <v>554</v>
      </c>
      <c r="D548" s="5">
        <v>0.1411</v>
      </c>
      <c r="E548" s="4">
        <v>0.35</v>
      </c>
      <c r="F548" s="4">
        <v>2</v>
      </c>
      <c r="G548" s="6">
        <v>2350</v>
      </c>
      <c r="H548" s="4">
        <v>214</v>
      </c>
      <c r="I548" s="4">
        <v>50</v>
      </c>
      <c r="J548" s="4">
        <v>-138</v>
      </c>
    </row>
    <row r="549" spans="2:10">
      <c r="B549" s="4">
        <v>3567</v>
      </c>
      <c r="C549" s="4" t="s">
        <v>555</v>
      </c>
      <c r="D549" s="5">
        <v>0.1074</v>
      </c>
      <c r="E549" s="4">
        <v>1.5158700000000001</v>
      </c>
      <c r="F549" s="4">
        <v>0</v>
      </c>
      <c r="G549" s="6">
        <v>1516</v>
      </c>
      <c r="H549" s="4">
        <v>87</v>
      </c>
      <c r="I549" s="4">
        <v>-19</v>
      </c>
      <c r="J549" s="4">
        <v>-140</v>
      </c>
    </row>
    <row r="550" spans="2:10">
      <c r="B550" s="4">
        <v>3570</v>
      </c>
      <c r="C550" s="4" t="s">
        <v>556</v>
      </c>
      <c r="D550" s="5">
        <v>0.29370000000000002</v>
      </c>
      <c r="E550" s="4">
        <v>2</v>
      </c>
      <c r="F550" s="4">
        <v>0</v>
      </c>
      <c r="G550" s="6">
        <v>2000</v>
      </c>
      <c r="H550" s="4">
        <v>487</v>
      </c>
      <c r="I550" s="4">
        <v>347</v>
      </c>
      <c r="J550" s="4">
        <v>187</v>
      </c>
    </row>
    <row r="551" spans="2:10">
      <c r="B551" s="4">
        <v>3573</v>
      </c>
      <c r="C551" s="4" t="s">
        <v>557</v>
      </c>
      <c r="D551" s="5">
        <v>9.6000000000000002E-2</v>
      </c>
      <c r="E551" s="4">
        <v>5.89</v>
      </c>
      <c r="F551" s="4">
        <v>0.5</v>
      </c>
      <c r="G551" s="6">
        <v>6390</v>
      </c>
      <c r="H551" s="4">
        <v>294</v>
      </c>
      <c r="I551" s="4">
        <v>-153</v>
      </c>
      <c r="J551" s="4">
        <v>-665</v>
      </c>
    </row>
    <row r="552" spans="2:10">
      <c r="B552" s="4">
        <v>3576</v>
      </c>
      <c r="C552" s="4" t="s">
        <v>558</v>
      </c>
      <c r="D552" s="5">
        <v>1.78E-2</v>
      </c>
      <c r="E552" s="4">
        <v>4.6120000000000001</v>
      </c>
      <c r="F552" s="4">
        <v>0.51</v>
      </c>
      <c r="G552" s="6">
        <v>5122</v>
      </c>
      <c r="H552" s="4">
        <v>-165</v>
      </c>
      <c r="I552" s="4">
        <v>-523</v>
      </c>
      <c r="J552" s="4">
        <v>-933</v>
      </c>
    </row>
    <row r="553" spans="2:10">
      <c r="B553" s="4">
        <v>3577</v>
      </c>
      <c r="C553" s="4" t="s">
        <v>559</v>
      </c>
      <c r="D553" s="5">
        <v>3.7900000000000003E-2</v>
      </c>
      <c r="E553" s="4">
        <v>2</v>
      </c>
      <c r="F553" s="4">
        <v>0</v>
      </c>
      <c r="G553" s="6">
        <v>2000</v>
      </c>
      <c r="H553" s="4">
        <v>-24</v>
      </c>
      <c r="I553" s="4">
        <v>-164</v>
      </c>
      <c r="J553" s="4">
        <v>-324</v>
      </c>
    </row>
    <row r="554" spans="2:10">
      <c r="B554" s="4">
        <v>3579</v>
      </c>
      <c r="C554" s="4" t="s">
        <v>560</v>
      </c>
      <c r="D554" s="5">
        <v>8.8300000000000003E-2</v>
      </c>
      <c r="E554" s="4">
        <v>1.8</v>
      </c>
      <c r="F554" s="4">
        <v>1.2</v>
      </c>
      <c r="G554" s="6">
        <v>3000</v>
      </c>
      <c r="H554" s="4">
        <v>115</v>
      </c>
      <c r="I554" s="4">
        <v>-95</v>
      </c>
      <c r="J554" s="4">
        <v>-335</v>
      </c>
    </row>
    <row r="555" spans="2:10">
      <c r="B555" s="4">
        <v>3580</v>
      </c>
      <c r="C555" s="4" t="s">
        <v>561</v>
      </c>
      <c r="D555" s="5">
        <v>0.17449999999999999</v>
      </c>
      <c r="E555" s="4">
        <v>0.3</v>
      </c>
      <c r="F555" s="4">
        <v>0</v>
      </c>
      <c r="G555" s="4">
        <v>300</v>
      </c>
      <c r="H555" s="4">
        <v>37</v>
      </c>
      <c r="I555" s="4">
        <v>16</v>
      </c>
      <c r="J555" s="4">
        <v>-8</v>
      </c>
    </row>
    <row r="556" spans="2:10">
      <c r="B556" s="4">
        <v>3582</v>
      </c>
      <c r="C556" s="4" t="s">
        <v>562</v>
      </c>
      <c r="D556" s="5">
        <v>0.12959999999999999</v>
      </c>
      <c r="E556" s="4">
        <v>5.0462499999999997</v>
      </c>
      <c r="F556" s="4">
        <v>0.50461999999999996</v>
      </c>
      <c r="G556" s="6">
        <v>5551</v>
      </c>
      <c r="H556" s="4">
        <v>442</v>
      </c>
      <c r="I556" s="4">
        <v>53</v>
      </c>
      <c r="J556" s="4">
        <v>-391</v>
      </c>
    </row>
    <row r="557" spans="2:10">
      <c r="B557" s="4">
        <v>3584</v>
      </c>
      <c r="C557" s="4" t="s">
        <v>563</v>
      </c>
      <c r="D557" s="5">
        <v>0.1149</v>
      </c>
      <c r="E557" s="4">
        <v>0.75</v>
      </c>
      <c r="F557" s="4">
        <v>1</v>
      </c>
      <c r="G557" s="6">
        <v>1750</v>
      </c>
      <c r="H557" s="4">
        <v>114</v>
      </c>
      <c r="I557" s="4">
        <v>-9</v>
      </c>
      <c r="J557" s="4">
        <v>-149</v>
      </c>
    </row>
    <row r="558" spans="2:10">
      <c r="B558" s="4">
        <v>3587</v>
      </c>
      <c r="C558" s="4" t="s">
        <v>564</v>
      </c>
      <c r="D558" s="5">
        <v>2.9600000000000001E-2</v>
      </c>
      <c r="E558" s="4">
        <v>1.4</v>
      </c>
      <c r="F558" s="4">
        <v>0.6</v>
      </c>
      <c r="G558" s="6">
        <v>2000</v>
      </c>
      <c r="H558" s="4">
        <v>-41</v>
      </c>
      <c r="I558" s="4">
        <v>-181</v>
      </c>
      <c r="J558" s="4">
        <v>-341</v>
      </c>
    </row>
    <row r="559" spans="2:10">
      <c r="B559" s="4">
        <v>3588</v>
      </c>
      <c r="C559" s="4" t="s">
        <v>565</v>
      </c>
      <c r="D559" s="5">
        <v>1.66E-2</v>
      </c>
      <c r="E559" s="4">
        <v>4.0327999999999999</v>
      </c>
      <c r="F559" s="4">
        <v>0.4032</v>
      </c>
      <c r="G559" s="6">
        <v>4436</v>
      </c>
      <c r="H559" s="4">
        <v>-148</v>
      </c>
      <c r="I559" s="4">
        <v>-459</v>
      </c>
      <c r="J559" s="4">
        <v>-814</v>
      </c>
    </row>
    <row r="560" spans="2:10">
      <c r="B560" s="4">
        <v>3591</v>
      </c>
      <c r="C560" s="4" t="s">
        <v>566</v>
      </c>
      <c r="D560" s="5">
        <v>0.1366</v>
      </c>
      <c r="E560" s="4">
        <v>3.5</v>
      </c>
      <c r="F560" s="4">
        <v>1.5</v>
      </c>
      <c r="G560" s="6">
        <v>5000</v>
      </c>
      <c r="H560" s="4">
        <v>433</v>
      </c>
      <c r="I560" s="4">
        <v>83</v>
      </c>
      <c r="J560" s="4">
        <v>-317</v>
      </c>
    </row>
    <row r="561" spans="2:10">
      <c r="B561" s="4">
        <v>3593</v>
      </c>
      <c r="C561" s="4" t="s">
        <v>567</v>
      </c>
      <c r="D561" s="5">
        <v>0.17</v>
      </c>
      <c r="E561" s="4">
        <v>1</v>
      </c>
      <c r="F561" s="4">
        <v>0</v>
      </c>
      <c r="G561" s="6">
        <v>1000</v>
      </c>
      <c r="H561" s="4">
        <v>120</v>
      </c>
      <c r="I561" s="4">
        <v>50</v>
      </c>
      <c r="J561" s="4">
        <v>-30</v>
      </c>
    </row>
    <row r="562" spans="2:10">
      <c r="B562" s="4">
        <v>3596</v>
      </c>
      <c r="C562" s="4" t="s">
        <v>568</v>
      </c>
      <c r="D562" s="5">
        <v>0.26889999999999997</v>
      </c>
      <c r="E562" s="4">
        <v>2.2000000000000002</v>
      </c>
      <c r="F562" s="4">
        <v>0</v>
      </c>
      <c r="G562" s="6">
        <v>2200</v>
      </c>
      <c r="H562" s="4">
        <v>482</v>
      </c>
      <c r="I562" s="4">
        <v>328</v>
      </c>
      <c r="J562" s="4">
        <v>152</v>
      </c>
    </row>
    <row r="563" spans="2:10">
      <c r="B563" s="4">
        <v>3598</v>
      </c>
      <c r="C563" s="4" t="s">
        <v>569</v>
      </c>
      <c r="D563" s="5">
        <v>5.4600000000000003E-2</v>
      </c>
      <c r="E563" s="4">
        <v>3</v>
      </c>
      <c r="F563" s="4">
        <v>0</v>
      </c>
      <c r="G563" s="6">
        <v>3000</v>
      </c>
      <c r="H563" s="4">
        <v>14</v>
      </c>
      <c r="I563" s="4">
        <v>-196</v>
      </c>
      <c r="J563" s="4">
        <v>-436</v>
      </c>
    </row>
    <row r="564" spans="2:10">
      <c r="B564" s="4">
        <v>3605</v>
      </c>
      <c r="C564" s="4" t="s">
        <v>570</v>
      </c>
      <c r="D564" s="5">
        <v>7.2499999999999995E-2</v>
      </c>
      <c r="E564" s="4">
        <v>3.5</v>
      </c>
      <c r="F564" s="4">
        <v>0</v>
      </c>
      <c r="G564" s="6">
        <v>3500</v>
      </c>
      <c r="H564" s="4">
        <v>79</v>
      </c>
      <c r="I564" s="4">
        <v>-166</v>
      </c>
      <c r="J564" s="4">
        <v>-446</v>
      </c>
    </row>
    <row r="565" spans="2:10">
      <c r="B565" s="4">
        <v>3607</v>
      </c>
      <c r="C565" s="4" t="s">
        <v>571</v>
      </c>
      <c r="D565" s="5">
        <v>0.30980000000000002</v>
      </c>
      <c r="E565" s="4">
        <v>4</v>
      </c>
      <c r="F565" s="4">
        <v>0</v>
      </c>
      <c r="G565" s="6">
        <v>4000</v>
      </c>
      <c r="H565" s="4">
        <v>1039</v>
      </c>
      <c r="I565" s="4">
        <v>759</v>
      </c>
      <c r="J565" s="4">
        <v>439</v>
      </c>
    </row>
    <row r="566" spans="2:10">
      <c r="B566" s="4">
        <v>3609</v>
      </c>
      <c r="C566" s="4" t="s">
        <v>572</v>
      </c>
      <c r="D566" s="5">
        <v>0.1132</v>
      </c>
      <c r="E566" s="4">
        <v>1.2</v>
      </c>
      <c r="F566" s="4">
        <v>0</v>
      </c>
      <c r="G566" s="6">
        <v>1200</v>
      </c>
      <c r="H566" s="4">
        <v>76</v>
      </c>
      <c r="I566" s="4">
        <v>-8</v>
      </c>
      <c r="J566" s="4">
        <v>-104</v>
      </c>
    </row>
    <row r="567" spans="2:10">
      <c r="B567" s="4">
        <v>3611</v>
      </c>
      <c r="C567" s="4" t="s">
        <v>573</v>
      </c>
      <c r="D567" s="5">
        <v>0.14749999999999999</v>
      </c>
      <c r="E567" s="4">
        <v>5</v>
      </c>
      <c r="F567" s="4">
        <v>1</v>
      </c>
      <c r="G567" s="6">
        <v>6000</v>
      </c>
      <c r="H567" s="4">
        <v>585</v>
      </c>
      <c r="I567" s="4">
        <v>165</v>
      </c>
      <c r="J567" s="4">
        <v>-315</v>
      </c>
    </row>
    <row r="568" spans="2:10">
      <c r="B568" s="4">
        <v>3615</v>
      </c>
      <c r="C568" s="4" t="s">
        <v>574</v>
      </c>
      <c r="D568" s="5">
        <v>0.16300000000000001</v>
      </c>
      <c r="E568" s="4">
        <v>0.2</v>
      </c>
      <c r="F568" s="4">
        <v>0.8</v>
      </c>
      <c r="G568" s="6">
        <v>1000</v>
      </c>
      <c r="H568" s="4">
        <v>113</v>
      </c>
      <c r="I568" s="4">
        <v>43</v>
      </c>
      <c r="J568" s="4">
        <v>-37</v>
      </c>
    </row>
    <row r="569" spans="2:10">
      <c r="B569" s="4">
        <v>3617</v>
      </c>
      <c r="C569" s="4" t="s">
        <v>575</v>
      </c>
      <c r="D569" s="5">
        <v>0.24199999999999999</v>
      </c>
      <c r="E569" s="4">
        <v>3.4</v>
      </c>
      <c r="F569" s="4">
        <v>0</v>
      </c>
      <c r="G569" s="6">
        <v>3400</v>
      </c>
      <c r="H569" s="4">
        <v>653</v>
      </c>
      <c r="I569" s="4">
        <v>415</v>
      </c>
      <c r="J569" s="4">
        <v>143</v>
      </c>
    </row>
    <row r="570" spans="2:10">
      <c r="B570" s="4">
        <v>3622</v>
      </c>
      <c r="C570" s="4" t="s">
        <v>576</v>
      </c>
      <c r="D570" s="5">
        <v>0.111</v>
      </c>
      <c r="E570" s="4">
        <v>5.5</v>
      </c>
      <c r="F570" s="4">
        <v>0.5</v>
      </c>
      <c r="G570" s="6">
        <v>6000</v>
      </c>
      <c r="H570" s="4">
        <v>366</v>
      </c>
      <c r="I570" s="4">
        <v>-54</v>
      </c>
      <c r="J570" s="4">
        <v>-534</v>
      </c>
    </row>
    <row r="571" spans="2:10">
      <c r="B571" s="4">
        <v>3624</v>
      </c>
      <c r="C571" s="4" t="s">
        <v>577</v>
      </c>
      <c r="D571" s="5">
        <v>1E-4</v>
      </c>
      <c r="E571" s="4">
        <v>1.5</v>
      </c>
      <c r="F571" s="4">
        <v>0</v>
      </c>
      <c r="G571" s="6">
        <v>1500</v>
      </c>
      <c r="H571" s="4">
        <v>-75</v>
      </c>
      <c r="I571" s="4">
        <v>-180</v>
      </c>
      <c r="J571" s="4">
        <v>-300</v>
      </c>
    </row>
    <row r="572" spans="2:10">
      <c r="B572" s="4">
        <v>3628</v>
      </c>
      <c r="C572" s="4" t="s">
        <v>578</v>
      </c>
      <c r="D572" s="5">
        <v>0.1479</v>
      </c>
      <c r="E572" s="4">
        <v>12</v>
      </c>
      <c r="F572" s="4">
        <v>0</v>
      </c>
      <c r="G572" s="6">
        <v>12000</v>
      </c>
      <c r="H572" s="4">
        <v>1175</v>
      </c>
      <c r="I572" s="4">
        <v>335</v>
      </c>
      <c r="J572" s="4">
        <v>-625</v>
      </c>
    </row>
    <row r="573" spans="2:10">
      <c r="B573" s="4">
        <v>3629</v>
      </c>
      <c r="C573" s="4" t="s">
        <v>579</v>
      </c>
      <c r="D573" s="5">
        <v>1.4999999999999999E-2</v>
      </c>
      <c r="E573" s="4">
        <v>0.5</v>
      </c>
      <c r="F573" s="4">
        <v>0</v>
      </c>
      <c r="G573" s="4">
        <v>500</v>
      </c>
      <c r="H573" s="4">
        <v>-18</v>
      </c>
      <c r="I573" s="4">
        <v>-53</v>
      </c>
      <c r="J573" s="4">
        <v>-93</v>
      </c>
    </row>
    <row r="574" spans="2:10">
      <c r="B574" s="4">
        <v>3630</v>
      </c>
      <c r="C574" s="4" t="s">
        <v>580</v>
      </c>
      <c r="D574" s="5">
        <v>2.2000000000000001E-3</v>
      </c>
      <c r="E574" s="4">
        <v>3.05</v>
      </c>
      <c r="F574" s="4">
        <v>0</v>
      </c>
      <c r="G574" s="6">
        <v>3050</v>
      </c>
      <c r="H574" s="4">
        <v>-146</v>
      </c>
      <c r="I574" s="4">
        <v>-359</v>
      </c>
      <c r="J574" s="4">
        <v>-603</v>
      </c>
    </row>
    <row r="575" spans="2:10">
      <c r="B575" s="4">
        <v>3631</v>
      </c>
      <c r="C575" s="4" t="s">
        <v>581</v>
      </c>
      <c r="D575" s="5">
        <v>0.1411</v>
      </c>
      <c r="E575" s="4">
        <v>3.0941999999999998</v>
      </c>
      <c r="F575" s="4">
        <v>0.82250000000000001</v>
      </c>
      <c r="G575" s="6">
        <v>3917</v>
      </c>
      <c r="H575" s="4">
        <v>357</v>
      </c>
      <c r="I575" s="4">
        <v>83</v>
      </c>
      <c r="J575" s="4">
        <v>-231</v>
      </c>
    </row>
    <row r="576" spans="2:10">
      <c r="B576" s="4">
        <v>3632</v>
      </c>
      <c r="C576" s="4" t="s">
        <v>582</v>
      </c>
      <c r="D576" s="5">
        <v>6.7599999999999993E-2</v>
      </c>
      <c r="E576" s="4">
        <v>1</v>
      </c>
      <c r="F576" s="4">
        <v>0.8</v>
      </c>
      <c r="G576" s="6">
        <v>1800</v>
      </c>
      <c r="H576" s="4">
        <v>32</v>
      </c>
      <c r="I576" s="4">
        <v>-94</v>
      </c>
      <c r="J576" s="4">
        <v>-238</v>
      </c>
    </row>
    <row r="577" spans="2:10">
      <c r="B577" s="4">
        <v>3652</v>
      </c>
      <c r="C577" s="4" t="s">
        <v>583</v>
      </c>
      <c r="D577" s="5">
        <v>4.5699999999999998E-2</v>
      </c>
      <c r="E577" s="4">
        <v>1.1499999999999999</v>
      </c>
      <c r="F577" s="4">
        <v>0</v>
      </c>
      <c r="G577" s="6">
        <v>1150</v>
      </c>
      <c r="H577" s="4">
        <v>-5</v>
      </c>
      <c r="I577" s="4">
        <v>-85</v>
      </c>
      <c r="J577" s="4">
        <v>-177</v>
      </c>
    </row>
    <row r="578" spans="2:10">
      <c r="B578" s="4">
        <v>3653</v>
      </c>
      <c r="C578" s="4" t="s">
        <v>584</v>
      </c>
      <c r="D578" s="5">
        <v>0.13350000000000001</v>
      </c>
      <c r="E578" s="4">
        <v>4</v>
      </c>
      <c r="F578" s="4">
        <v>1</v>
      </c>
      <c r="G578" s="6">
        <v>5000</v>
      </c>
      <c r="H578" s="4">
        <v>418</v>
      </c>
      <c r="I578" s="4">
        <v>68</v>
      </c>
      <c r="J578" s="4">
        <v>-333</v>
      </c>
    </row>
    <row r="579" spans="2:10">
      <c r="B579" s="4">
        <v>3665</v>
      </c>
      <c r="C579" s="4" t="s">
        <v>585</v>
      </c>
      <c r="D579" s="5">
        <v>0</v>
      </c>
      <c r="E579" s="4">
        <v>3.5</v>
      </c>
      <c r="F579" s="4">
        <v>0</v>
      </c>
      <c r="G579" s="6">
        <v>3500</v>
      </c>
      <c r="H579" s="4">
        <v>-175</v>
      </c>
      <c r="I579" s="4">
        <v>-420</v>
      </c>
      <c r="J579" s="4">
        <v>-700</v>
      </c>
    </row>
    <row r="580" spans="2:10">
      <c r="B580" s="4">
        <v>3673</v>
      </c>
      <c r="C580" s="4" t="s">
        <v>586</v>
      </c>
      <c r="D580" s="5">
        <v>0</v>
      </c>
      <c r="E580" s="4">
        <v>0</v>
      </c>
      <c r="F580" s="4">
        <v>0.5</v>
      </c>
      <c r="G580" s="4">
        <v>500</v>
      </c>
      <c r="H580" s="4">
        <v>-25</v>
      </c>
      <c r="I580" s="4">
        <v>-60</v>
      </c>
      <c r="J580" s="4">
        <v>-100</v>
      </c>
    </row>
    <row r="581" spans="2:10">
      <c r="B581" s="4">
        <v>3685</v>
      </c>
      <c r="C581" s="4" t="s">
        <v>587</v>
      </c>
      <c r="D581" s="5">
        <v>6.3E-3</v>
      </c>
      <c r="E581" s="4">
        <v>2.0243000000000002</v>
      </c>
      <c r="F581" s="4">
        <v>0</v>
      </c>
      <c r="G581" s="6">
        <v>2024</v>
      </c>
      <c r="H581" s="4">
        <v>-88</v>
      </c>
      <c r="I581" s="4">
        <v>-230</v>
      </c>
      <c r="J581" s="4">
        <v>-392</v>
      </c>
    </row>
    <row r="582" spans="2:10">
      <c r="B582" s="4">
        <v>3686</v>
      </c>
      <c r="C582" s="4" t="s">
        <v>588</v>
      </c>
      <c r="D582" s="5">
        <v>2.64E-2</v>
      </c>
      <c r="E582" s="4">
        <v>1</v>
      </c>
      <c r="F582" s="4">
        <v>0.12</v>
      </c>
      <c r="G582" s="6">
        <v>1120</v>
      </c>
      <c r="H582" s="4">
        <v>-26</v>
      </c>
      <c r="I582" s="4">
        <v>-105</v>
      </c>
      <c r="J582" s="4">
        <v>-194</v>
      </c>
    </row>
    <row r="583" spans="2:10">
      <c r="B583" s="4">
        <v>3687</v>
      </c>
      <c r="C583" s="4" t="s">
        <v>589</v>
      </c>
      <c r="D583" s="5">
        <v>0</v>
      </c>
      <c r="E583" s="4">
        <v>0.5</v>
      </c>
      <c r="F583" s="4">
        <v>2</v>
      </c>
      <c r="G583" s="6">
        <v>2500</v>
      </c>
      <c r="H583" s="4">
        <v>-125</v>
      </c>
      <c r="I583" s="4">
        <v>-300</v>
      </c>
      <c r="J583" s="4">
        <v>-500</v>
      </c>
    </row>
    <row r="584" spans="2:10">
      <c r="B584" s="4">
        <v>3691</v>
      </c>
      <c r="C584" s="4" t="s">
        <v>590</v>
      </c>
      <c r="D584" s="5">
        <v>3.8999999999999998E-3</v>
      </c>
      <c r="E584" s="4">
        <v>25</v>
      </c>
      <c r="F584" s="4">
        <v>3</v>
      </c>
      <c r="G584" s="6">
        <v>28000</v>
      </c>
      <c r="H584" s="4">
        <v>-1291</v>
      </c>
      <c r="I584" s="4">
        <v>-3251</v>
      </c>
      <c r="J584" s="4">
        <v>-5491</v>
      </c>
    </row>
    <row r="585" spans="2:10">
      <c r="B585" s="4">
        <v>3694</v>
      </c>
      <c r="C585" s="4" t="s">
        <v>591</v>
      </c>
      <c r="D585" s="5">
        <v>0.14649999999999999</v>
      </c>
      <c r="E585" s="4">
        <v>1.6591800000000001</v>
      </c>
      <c r="F585" s="4">
        <v>0</v>
      </c>
      <c r="G585" s="6">
        <v>1659</v>
      </c>
      <c r="H585" s="4">
        <v>160</v>
      </c>
      <c r="I585" s="4">
        <v>44</v>
      </c>
      <c r="J585" s="4">
        <v>-89</v>
      </c>
    </row>
    <row r="586" spans="2:10">
      <c r="B586" s="4">
        <v>3697</v>
      </c>
      <c r="C586" s="4" t="s">
        <v>592</v>
      </c>
      <c r="D586" s="5">
        <v>0</v>
      </c>
      <c r="E586" s="4">
        <v>10</v>
      </c>
      <c r="F586" s="4">
        <v>1</v>
      </c>
      <c r="G586" s="6">
        <v>11000</v>
      </c>
      <c r="H586" s="4">
        <v>-550</v>
      </c>
      <c r="I586" s="4">
        <v>-1320</v>
      </c>
      <c r="J586" s="4">
        <v>-2200</v>
      </c>
    </row>
    <row r="587" spans="2:10">
      <c r="B587" s="4">
        <v>3702</v>
      </c>
      <c r="C587" s="4" t="s">
        <v>593</v>
      </c>
      <c r="D587" s="5">
        <v>6.7799999999999999E-2</v>
      </c>
      <c r="E587" s="4">
        <v>2.1</v>
      </c>
      <c r="F587" s="4">
        <v>0.9</v>
      </c>
      <c r="G587" s="6">
        <v>3000</v>
      </c>
      <c r="H587" s="4">
        <v>53</v>
      </c>
      <c r="I587" s="4">
        <v>-157</v>
      </c>
      <c r="J587" s="4">
        <v>-397</v>
      </c>
    </row>
    <row r="588" spans="2:10">
      <c r="B588" s="4">
        <v>3703</v>
      </c>
      <c r="C588" s="4" t="s">
        <v>594</v>
      </c>
      <c r="D588" s="5">
        <v>1.0800000000000001E-2</v>
      </c>
      <c r="E588" s="4">
        <v>0.6</v>
      </c>
      <c r="F588" s="4">
        <v>0</v>
      </c>
      <c r="G588" s="4">
        <v>600</v>
      </c>
      <c r="H588" s="4">
        <v>-24</v>
      </c>
      <c r="I588" s="4">
        <v>-66</v>
      </c>
      <c r="J588" s="4">
        <v>-114</v>
      </c>
    </row>
    <row r="589" spans="2:10">
      <c r="B589" s="4">
        <v>3704</v>
      </c>
      <c r="C589" s="4" t="s">
        <v>595</v>
      </c>
      <c r="D589" s="5">
        <v>0</v>
      </c>
      <c r="E589" s="4">
        <v>0.6</v>
      </c>
      <c r="F589" s="4">
        <v>0</v>
      </c>
      <c r="G589" s="4">
        <v>600</v>
      </c>
      <c r="H589" s="4">
        <v>-30</v>
      </c>
      <c r="I589" s="4">
        <v>-72</v>
      </c>
      <c r="J589" s="4">
        <v>-120</v>
      </c>
    </row>
    <row r="590" spans="2:10">
      <c r="B590" s="4">
        <v>3705</v>
      </c>
      <c r="C590" s="4" t="s">
        <v>596</v>
      </c>
      <c r="D590" s="5">
        <v>0.16739999999999999</v>
      </c>
      <c r="E590" s="4">
        <v>1.8</v>
      </c>
      <c r="F590" s="4">
        <v>0</v>
      </c>
      <c r="G590" s="6">
        <v>1800</v>
      </c>
      <c r="H590" s="4">
        <v>211</v>
      </c>
      <c r="I590" s="4">
        <v>85</v>
      </c>
      <c r="J590" s="4">
        <v>-59</v>
      </c>
    </row>
    <row r="591" spans="2:10">
      <c r="B591" s="4">
        <v>4102</v>
      </c>
      <c r="C591" s="4" t="s">
        <v>597</v>
      </c>
      <c r="D591" s="5">
        <v>6.5600000000000006E-2</v>
      </c>
      <c r="E591" s="4">
        <v>1.5</v>
      </c>
      <c r="F591" s="4">
        <v>0.5</v>
      </c>
      <c r="G591" s="6">
        <v>2000</v>
      </c>
      <c r="H591" s="4">
        <v>31</v>
      </c>
      <c r="I591" s="4">
        <v>-109</v>
      </c>
      <c r="J591" s="4">
        <v>-269</v>
      </c>
    </row>
    <row r="592" spans="2:10">
      <c r="B592" s="4">
        <v>4103</v>
      </c>
      <c r="C592" s="4" t="s">
        <v>598</v>
      </c>
      <c r="D592" s="5">
        <v>0.26860000000000001</v>
      </c>
      <c r="E592" s="4">
        <v>3</v>
      </c>
      <c r="F592" s="4">
        <v>0</v>
      </c>
      <c r="G592" s="6">
        <v>3000</v>
      </c>
      <c r="H592" s="4">
        <v>656</v>
      </c>
      <c r="I592" s="4">
        <v>446</v>
      </c>
      <c r="J592" s="4">
        <v>206</v>
      </c>
    </row>
    <row r="593" spans="2:10">
      <c r="B593" s="4">
        <v>4104</v>
      </c>
      <c r="C593" s="4" t="s">
        <v>599</v>
      </c>
      <c r="D593" s="5">
        <v>0</v>
      </c>
      <c r="E593" s="4">
        <v>2.5</v>
      </c>
      <c r="F593" s="4">
        <v>0</v>
      </c>
      <c r="G593" s="6">
        <v>2500</v>
      </c>
      <c r="H593" s="4">
        <v>-125</v>
      </c>
      <c r="I593" s="4">
        <v>-300</v>
      </c>
      <c r="J593" s="4">
        <v>-500</v>
      </c>
    </row>
    <row r="594" spans="2:10">
      <c r="B594" s="4">
        <v>4105</v>
      </c>
      <c r="C594" s="4" t="s">
        <v>600</v>
      </c>
      <c r="D594" s="5">
        <v>0.17549999999999999</v>
      </c>
      <c r="E594" s="4">
        <v>0.26</v>
      </c>
      <c r="F594" s="4">
        <v>2.34</v>
      </c>
      <c r="G594" s="6">
        <v>2600</v>
      </c>
      <c r="H594" s="4">
        <v>326</v>
      </c>
      <c r="I594" s="4">
        <v>144</v>
      </c>
      <c r="J594" s="4">
        <v>-64</v>
      </c>
    </row>
    <row r="595" spans="2:10">
      <c r="B595" s="4">
        <v>4106</v>
      </c>
      <c r="C595" s="4" t="s">
        <v>601</v>
      </c>
      <c r="D595" s="5">
        <v>0.18740000000000001</v>
      </c>
      <c r="E595" s="4">
        <v>1.1000000000000001</v>
      </c>
      <c r="F595" s="4">
        <v>1</v>
      </c>
      <c r="G595" s="6">
        <v>2100</v>
      </c>
      <c r="H595" s="4">
        <v>289</v>
      </c>
      <c r="I595" s="4">
        <v>142</v>
      </c>
      <c r="J595" s="4">
        <v>-26</v>
      </c>
    </row>
    <row r="596" spans="2:10">
      <c r="B596" s="4">
        <v>4107</v>
      </c>
      <c r="C596" s="4" t="s">
        <v>602</v>
      </c>
      <c r="D596" s="5">
        <v>0.15340000000000001</v>
      </c>
      <c r="E596" s="4">
        <v>1.8</v>
      </c>
      <c r="F596" s="4">
        <v>0</v>
      </c>
      <c r="G596" s="6">
        <v>1800</v>
      </c>
      <c r="H596" s="4">
        <v>186</v>
      </c>
      <c r="I596" s="4">
        <v>60</v>
      </c>
      <c r="J596" s="4">
        <v>-84</v>
      </c>
    </row>
    <row r="597" spans="2:10">
      <c r="B597" s="4">
        <v>4109</v>
      </c>
      <c r="C597" s="4" t="s">
        <v>603</v>
      </c>
      <c r="D597" s="5">
        <v>0.24629999999999999</v>
      </c>
      <c r="E597" s="4">
        <v>0</v>
      </c>
      <c r="F597" s="4">
        <v>0.6</v>
      </c>
      <c r="G597" s="4">
        <v>600</v>
      </c>
      <c r="H597" s="4">
        <v>118</v>
      </c>
      <c r="I597" s="4">
        <v>76</v>
      </c>
      <c r="J597" s="4">
        <v>28</v>
      </c>
    </row>
    <row r="598" spans="2:10">
      <c r="B598" s="4">
        <v>4111</v>
      </c>
      <c r="C598" s="4" t="s">
        <v>604</v>
      </c>
      <c r="D598" s="5">
        <v>0.2712</v>
      </c>
      <c r="E598" s="4">
        <v>0.3</v>
      </c>
      <c r="F598" s="4">
        <v>0.2</v>
      </c>
      <c r="G598" s="4">
        <v>500</v>
      </c>
      <c r="H598" s="4">
        <v>111</v>
      </c>
      <c r="I598" s="4">
        <v>76</v>
      </c>
      <c r="J598" s="4">
        <v>36</v>
      </c>
    </row>
    <row r="599" spans="2:10">
      <c r="B599" s="4">
        <v>4114</v>
      </c>
      <c r="C599" s="4" t="s">
        <v>605</v>
      </c>
      <c r="D599" s="5">
        <v>0.20480000000000001</v>
      </c>
      <c r="E599" s="4">
        <v>0.1</v>
      </c>
      <c r="F599" s="4">
        <v>0.5</v>
      </c>
      <c r="G599" s="4">
        <v>600</v>
      </c>
      <c r="H599" s="4">
        <v>93</v>
      </c>
      <c r="I599" s="4">
        <v>51</v>
      </c>
      <c r="J599" s="4">
        <v>3</v>
      </c>
    </row>
    <row r="600" spans="2:10">
      <c r="B600" s="4">
        <v>4119</v>
      </c>
      <c r="C600" s="4" t="s">
        <v>606</v>
      </c>
      <c r="D600" s="5">
        <v>0.1855</v>
      </c>
      <c r="E600" s="4">
        <v>2.6</v>
      </c>
      <c r="F600" s="4">
        <v>0.75999000000000005</v>
      </c>
      <c r="G600" s="6">
        <v>3360</v>
      </c>
      <c r="H600" s="4">
        <v>455</v>
      </c>
      <c r="I600" s="4">
        <v>220</v>
      </c>
      <c r="J600" s="4">
        <v>-49</v>
      </c>
    </row>
    <row r="601" spans="2:10">
      <c r="B601" s="4">
        <v>4120</v>
      </c>
      <c r="C601" s="4" t="s">
        <v>607</v>
      </c>
      <c r="D601" s="5">
        <v>0.3281</v>
      </c>
      <c r="E601" s="4">
        <v>0.7</v>
      </c>
      <c r="F601" s="4">
        <v>0</v>
      </c>
      <c r="G601" s="4">
        <v>700</v>
      </c>
      <c r="H601" s="4">
        <v>195</v>
      </c>
      <c r="I601" s="4">
        <v>146</v>
      </c>
      <c r="J601" s="4">
        <v>90</v>
      </c>
    </row>
    <row r="602" spans="2:10">
      <c r="B602" s="4">
        <v>4121</v>
      </c>
      <c r="C602" s="4" t="s">
        <v>608</v>
      </c>
      <c r="D602" s="5">
        <v>0.1487</v>
      </c>
      <c r="E602" s="4">
        <v>0.4</v>
      </c>
      <c r="F602" s="4">
        <v>0.4</v>
      </c>
      <c r="G602" s="4">
        <v>800</v>
      </c>
      <c r="H602" s="4">
        <v>79</v>
      </c>
      <c r="I602" s="4">
        <v>23</v>
      </c>
      <c r="J602" s="4">
        <v>-41</v>
      </c>
    </row>
    <row r="603" spans="2:10">
      <c r="B603" s="4">
        <v>4123</v>
      </c>
      <c r="C603" s="4" t="s">
        <v>609</v>
      </c>
      <c r="D603" s="5">
        <v>0.34279999999999999</v>
      </c>
      <c r="E603" s="4">
        <v>0</v>
      </c>
      <c r="F603" s="4">
        <v>1.25</v>
      </c>
      <c r="G603" s="6">
        <v>1250</v>
      </c>
      <c r="H603" s="4">
        <v>366</v>
      </c>
      <c r="I603" s="4">
        <v>279</v>
      </c>
      <c r="J603" s="4">
        <v>179</v>
      </c>
    </row>
    <row r="604" spans="2:10">
      <c r="B604" s="4">
        <v>4126</v>
      </c>
      <c r="C604" s="4" t="s">
        <v>610</v>
      </c>
      <c r="D604" s="5">
        <v>0.2077</v>
      </c>
      <c r="E604" s="4">
        <v>3</v>
      </c>
      <c r="F604" s="4">
        <v>1.1200000000000001</v>
      </c>
      <c r="G604" s="6">
        <v>4120</v>
      </c>
      <c r="H604" s="4">
        <v>650</v>
      </c>
      <c r="I604" s="4">
        <v>361</v>
      </c>
      <c r="J604" s="4">
        <v>32</v>
      </c>
    </row>
    <row r="605" spans="2:10">
      <c r="B605" s="4">
        <v>4128</v>
      </c>
      <c r="C605" s="4" t="s">
        <v>611</v>
      </c>
      <c r="D605" s="5">
        <v>0.16239999999999999</v>
      </c>
      <c r="E605" s="4">
        <v>0.3</v>
      </c>
      <c r="F605" s="4">
        <v>2.2000000000000002</v>
      </c>
      <c r="G605" s="6">
        <v>2500</v>
      </c>
      <c r="H605" s="4">
        <v>281</v>
      </c>
      <c r="I605" s="4">
        <v>106</v>
      </c>
      <c r="J605" s="4">
        <v>-94</v>
      </c>
    </row>
    <row r="606" spans="2:10">
      <c r="B606" s="4">
        <v>4129</v>
      </c>
      <c r="C606" s="4" t="s">
        <v>612</v>
      </c>
      <c r="D606" s="5">
        <v>0.33329999999999999</v>
      </c>
      <c r="E606" s="4">
        <v>0.68</v>
      </c>
      <c r="F606" s="4">
        <v>0</v>
      </c>
      <c r="G606" s="4">
        <v>680</v>
      </c>
      <c r="H606" s="4">
        <v>193</v>
      </c>
      <c r="I606" s="4">
        <v>145</v>
      </c>
      <c r="J606" s="4">
        <v>91</v>
      </c>
    </row>
    <row r="607" spans="2:10">
      <c r="B607" s="4">
        <v>4133</v>
      </c>
      <c r="C607" s="4" t="s">
        <v>613</v>
      </c>
      <c r="D607" s="5">
        <v>4.07E-2</v>
      </c>
      <c r="E607" s="4">
        <v>2</v>
      </c>
      <c r="F607" s="4">
        <v>0</v>
      </c>
      <c r="G607" s="6">
        <v>2000</v>
      </c>
      <c r="H607" s="4">
        <v>-19</v>
      </c>
      <c r="I607" s="4">
        <v>-159</v>
      </c>
      <c r="J607" s="4">
        <v>-319</v>
      </c>
    </row>
    <row r="608" spans="2:10">
      <c r="B608" s="4">
        <v>4138</v>
      </c>
      <c r="C608" s="4" t="s">
        <v>614</v>
      </c>
      <c r="D608" s="5">
        <v>0.31759999999999999</v>
      </c>
      <c r="E608" s="4">
        <v>4.5</v>
      </c>
      <c r="F608" s="4">
        <v>0</v>
      </c>
      <c r="G608" s="6">
        <v>4500</v>
      </c>
      <c r="H608" s="4">
        <v>1204</v>
      </c>
      <c r="I608" s="4">
        <v>889</v>
      </c>
      <c r="J608" s="4">
        <v>529</v>
      </c>
    </row>
    <row r="609" spans="2:10">
      <c r="B609" s="4">
        <v>4139</v>
      </c>
      <c r="C609" s="4" t="s">
        <v>615</v>
      </c>
      <c r="D609" s="5">
        <v>0</v>
      </c>
      <c r="E609" s="4">
        <v>0</v>
      </c>
      <c r="F609" s="4">
        <v>0.88888</v>
      </c>
      <c r="G609" s="4">
        <v>889</v>
      </c>
      <c r="H609" s="4">
        <v>-44</v>
      </c>
      <c r="I609" s="4">
        <v>-107</v>
      </c>
      <c r="J609" s="4">
        <v>-178</v>
      </c>
    </row>
    <row r="610" spans="2:10">
      <c r="B610" s="4">
        <v>4205</v>
      </c>
      <c r="C610" s="4" t="s">
        <v>616</v>
      </c>
      <c r="D610" s="5">
        <v>0.19040000000000001</v>
      </c>
      <c r="E610" s="4">
        <v>2</v>
      </c>
      <c r="F610" s="4">
        <v>0</v>
      </c>
      <c r="G610" s="6">
        <v>2000</v>
      </c>
      <c r="H610" s="4">
        <v>281</v>
      </c>
      <c r="I610" s="4">
        <v>141</v>
      </c>
      <c r="J610" s="4">
        <v>-19</v>
      </c>
    </row>
    <row r="611" spans="2:10">
      <c r="B611" s="4">
        <v>4207</v>
      </c>
      <c r="C611" s="4" t="s">
        <v>617</v>
      </c>
      <c r="D611" s="5">
        <v>0.20699999999999999</v>
      </c>
      <c r="E611" s="4">
        <v>0</v>
      </c>
      <c r="F611" s="4">
        <v>0.45</v>
      </c>
      <c r="G611" s="4">
        <v>450</v>
      </c>
      <c r="H611" s="4">
        <v>71</v>
      </c>
      <c r="I611" s="4">
        <v>39</v>
      </c>
      <c r="J611" s="4">
        <v>3</v>
      </c>
    </row>
    <row r="612" spans="2:10">
      <c r="B612" s="4">
        <v>4305</v>
      </c>
      <c r="C612" s="4" t="s">
        <v>618</v>
      </c>
      <c r="D612" s="5">
        <v>0.19589999999999999</v>
      </c>
      <c r="E612" s="4">
        <v>0.8</v>
      </c>
      <c r="F612" s="4">
        <v>0</v>
      </c>
      <c r="G612" s="4">
        <v>800</v>
      </c>
      <c r="H612" s="4">
        <v>117</v>
      </c>
      <c r="I612" s="4">
        <v>61</v>
      </c>
      <c r="J612" s="4">
        <v>-3</v>
      </c>
    </row>
    <row r="613" spans="2:10">
      <c r="B613" s="4">
        <v>4306</v>
      </c>
      <c r="C613" s="4" t="s">
        <v>619</v>
      </c>
      <c r="D613" s="5">
        <v>0.1047</v>
      </c>
      <c r="E613" s="4">
        <v>0.65</v>
      </c>
      <c r="F613" s="4">
        <v>0.5</v>
      </c>
      <c r="G613" s="6">
        <v>1150</v>
      </c>
      <c r="H613" s="4">
        <v>63</v>
      </c>
      <c r="I613" s="4">
        <v>-18</v>
      </c>
      <c r="J613" s="4">
        <v>-110</v>
      </c>
    </row>
    <row r="614" spans="2:10">
      <c r="B614" s="4">
        <v>4401</v>
      </c>
      <c r="C614" s="4" t="s">
        <v>620</v>
      </c>
      <c r="D614" s="5">
        <v>0.1615</v>
      </c>
      <c r="E614" s="4">
        <v>2</v>
      </c>
      <c r="F614" s="4">
        <v>0</v>
      </c>
      <c r="G614" s="6">
        <v>2000</v>
      </c>
      <c r="H614" s="4">
        <v>223</v>
      </c>
      <c r="I614" s="4">
        <v>83</v>
      </c>
      <c r="J614" s="4">
        <v>-77</v>
      </c>
    </row>
    <row r="615" spans="2:10">
      <c r="B615" s="4">
        <v>4406</v>
      </c>
      <c r="C615" s="4" t="s">
        <v>621</v>
      </c>
      <c r="D615" s="5">
        <v>0.20480000000000001</v>
      </c>
      <c r="E615" s="4">
        <v>0.2</v>
      </c>
      <c r="F615" s="4">
        <v>0</v>
      </c>
      <c r="G615" s="4">
        <v>200</v>
      </c>
      <c r="H615" s="4">
        <v>31</v>
      </c>
      <c r="I615" s="4">
        <v>17</v>
      </c>
      <c r="J615" s="4">
        <v>1</v>
      </c>
    </row>
    <row r="616" spans="2:10">
      <c r="B616" s="4">
        <v>4416</v>
      </c>
      <c r="C616" s="4" t="s">
        <v>622</v>
      </c>
      <c r="D616" s="5">
        <v>0.2029</v>
      </c>
      <c r="E616" s="4">
        <v>3.2</v>
      </c>
      <c r="F616" s="4">
        <v>0</v>
      </c>
      <c r="G616" s="6">
        <v>3200</v>
      </c>
      <c r="H616" s="4">
        <v>489</v>
      </c>
      <c r="I616" s="4">
        <v>265</v>
      </c>
      <c r="J616" s="4">
        <v>9</v>
      </c>
    </row>
    <row r="617" spans="2:10">
      <c r="B617" s="4">
        <v>4417</v>
      </c>
      <c r="C617" s="4" t="s">
        <v>623</v>
      </c>
      <c r="D617" s="5">
        <v>0.15010000000000001</v>
      </c>
      <c r="E617" s="4">
        <v>0.5</v>
      </c>
      <c r="F617" s="4">
        <v>0.5</v>
      </c>
      <c r="G617" s="6">
        <v>1000</v>
      </c>
      <c r="H617" s="4">
        <v>100</v>
      </c>
      <c r="I617" s="4">
        <v>30</v>
      </c>
      <c r="J617" s="4">
        <v>-50</v>
      </c>
    </row>
    <row r="618" spans="2:10">
      <c r="B618" s="4">
        <v>4420</v>
      </c>
      <c r="C618" s="4" t="s">
        <v>624</v>
      </c>
      <c r="D618" s="5">
        <v>0.252</v>
      </c>
      <c r="E618" s="4">
        <v>1.7</v>
      </c>
      <c r="F618" s="4">
        <v>0</v>
      </c>
      <c r="G618" s="6">
        <v>1700</v>
      </c>
      <c r="H618" s="4">
        <v>343</v>
      </c>
      <c r="I618" s="4">
        <v>224</v>
      </c>
      <c r="J618" s="4">
        <v>88</v>
      </c>
    </row>
    <row r="619" spans="2:10">
      <c r="B619" s="4">
        <v>4426</v>
      </c>
      <c r="C619" s="4" t="s">
        <v>625</v>
      </c>
      <c r="D619" s="5">
        <v>0.2263</v>
      </c>
      <c r="E619" s="4">
        <v>0.3</v>
      </c>
      <c r="F619" s="4">
        <v>0.7</v>
      </c>
      <c r="G619" s="6">
        <v>1000</v>
      </c>
      <c r="H619" s="4">
        <v>176</v>
      </c>
      <c r="I619" s="4">
        <v>106</v>
      </c>
      <c r="J619" s="4">
        <v>26</v>
      </c>
    </row>
    <row r="620" spans="2:10">
      <c r="B620" s="4">
        <v>4429</v>
      </c>
      <c r="C620" s="4" t="s">
        <v>626</v>
      </c>
      <c r="D620" s="5">
        <v>0.1028</v>
      </c>
      <c r="E620" s="4">
        <v>3.2</v>
      </c>
      <c r="F620" s="4">
        <v>0</v>
      </c>
      <c r="G620" s="6">
        <v>3200</v>
      </c>
      <c r="H620" s="4">
        <v>169</v>
      </c>
      <c r="I620" s="4">
        <v>-55</v>
      </c>
      <c r="J620" s="4">
        <v>-311</v>
      </c>
    </row>
    <row r="621" spans="2:10">
      <c r="B621" s="4">
        <v>4430</v>
      </c>
      <c r="C621" s="4" t="s">
        <v>627</v>
      </c>
      <c r="D621" s="5">
        <v>0.26429999999999998</v>
      </c>
      <c r="E621" s="4">
        <v>2</v>
      </c>
      <c r="F621" s="4">
        <v>0</v>
      </c>
      <c r="G621" s="6">
        <v>2000</v>
      </c>
      <c r="H621" s="4">
        <v>429</v>
      </c>
      <c r="I621" s="4">
        <v>289</v>
      </c>
      <c r="J621" s="4">
        <v>129</v>
      </c>
    </row>
    <row r="622" spans="2:10">
      <c r="B622" s="4">
        <v>4506</v>
      </c>
      <c r="C622" s="4" t="s">
        <v>628</v>
      </c>
      <c r="D622" s="5">
        <v>0.23169999999999999</v>
      </c>
      <c r="E622" s="4">
        <v>1</v>
      </c>
      <c r="F622" s="4">
        <v>0</v>
      </c>
      <c r="G622" s="6">
        <v>1000</v>
      </c>
      <c r="H622" s="4">
        <v>182</v>
      </c>
      <c r="I622" s="4">
        <v>112</v>
      </c>
      <c r="J622" s="4">
        <v>32</v>
      </c>
    </row>
    <row r="623" spans="2:10">
      <c r="B623" s="4">
        <v>4523</v>
      </c>
      <c r="C623" s="4" t="s">
        <v>629</v>
      </c>
      <c r="D623" s="5">
        <v>0.13950000000000001</v>
      </c>
      <c r="E623" s="4">
        <v>0.5</v>
      </c>
      <c r="F623" s="4">
        <v>0</v>
      </c>
      <c r="G623" s="4">
        <v>500</v>
      </c>
      <c r="H623" s="4">
        <v>45</v>
      </c>
      <c r="I623" s="4">
        <v>10</v>
      </c>
      <c r="J623" s="4">
        <v>-30</v>
      </c>
    </row>
    <row r="624" spans="2:10">
      <c r="B624" s="4">
        <v>4526</v>
      </c>
      <c r="C624" s="4" t="s">
        <v>630</v>
      </c>
      <c r="D624" s="5">
        <v>0.13880000000000001</v>
      </c>
      <c r="E624" s="4">
        <v>1.2</v>
      </c>
      <c r="F624" s="4">
        <v>0.8</v>
      </c>
      <c r="G624" s="6">
        <v>2000</v>
      </c>
      <c r="H624" s="4">
        <v>178</v>
      </c>
      <c r="I624" s="4">
        <v>38</v>
      </c>
      <c r="J624" s="4">
        <v>-122</v>
      </c>
    </row>
    <row r="625" spans="2:10">
      <c r="B625" s="4">
        <v>4527</v>
      </c>
      <c r="C625" s="4" t="s">
        <v>631</v>
      </c>
      <c r="D625" s="5">
        <v>0.27579999999999999</v>
      </c>
      <c r="E625" s="4">
        <v>0.2</v>
      </c>
      <c r="F625" s="4">
        <v>0.3</v>
      </c>
      <c r="G625" s="4">
        <v>500</v>
      </c>
      <c r="H625" s="4">
        <v>113</v>
      </c>
      <c r="I625" s="4">
        <v>78</v>
      </c>
      <c r="J625" s="4">
        <v>38</v>
      </c>
    </row>
    <row r="626" spans="2:10">
      <c r="B626" s="4">
        <v>4528</v>
      </c>
      <c r="C626" s="4" t="s">
        <v>632</v>
      </c>
      <c r="D626" s="5">
        <v>0.20710000000000001</v>
      </c>
      <c r="E626" s="4">
        <v>0.69999</v>
      </c>
      <c r="F626" s="4">
        <v>0.3</v>
      </c>
      <c r="G626" s="6">
        <v>1000</v>
      </c>
      <c r="H626" s="4">
        <v>157</v>
      </c>
      <c r="I626" s="4">
        <v>87</v>
      </c>
      <c r="J626" s="4">
        <v>7</v>
      </c>
    </row>
    <row r="627" spans="2:10">
      <c r="B627" s="4">
        <v>4532</v>
      </c>
      <c r="C627" s="4" t="s">
        <v>633</v>
      </c>
      <c r="D627" s="5">
        <v>4.6199999999999998E-2</v>
      </c>
      <c r="E627" s="4">
        <v>0.6</v>
      </c>
      <c r="F627" s="4">
        <v>0.3</v>
      </c>
      <c r="G627" s="4">
        <v>900</v>
      </c>
      <c r="H627" s="4">
        <v>-3</v>
      </c>
      <c r="I627" s="4">
        <v>-66</v>
      </c>
      <c r="J627" s="4">
        <v>-138</v>
      </c>
    </row>
    <row r="628" spans="2:10">
      <c r="B628" s="4">
        <v>4533</v>
      </c>
      <c r="C628" s="4" t="s">
        <v>634</v>
      </c>
      <c r="D628" s="5">
        <v>0.20480000000000001</v>
      </c>
      <c r="E628" s="4">
        <v>0.6</v>
      </c>
      <c r="F628" s="4">
        <v>0</v>
      </c>
      <c r="G628" s="4">
        <v>600</v>
      </c>
      <c r="H628" s="4">
        <v>93</v>
      </c>
      <c r="I628" s="4">
        <v>51</v>
      </c>
      <c r="J628" s="4">
        <v>3</v>
      </c>
    </row>
    <row r="629" spans="2:10">
      <c r="B629" s="4">
        <v>4534</v>
      </c>
      <c r="C629" s="4" t="s">
        <v>635</v>
      </c>
      <c r="D629" s="5">
        <v>2.3099999999999999E-2</v>
      </c>
      <c r="E629" s="4">
        <v>0.5</v>
      </c>
      <c r="F629" s="4">
        <v>0</v>
      </c>
      <c r="G629" s="4">
        <v>500</v>
      </c>
      <c r="H629" s="4">
        <v>-13</v>
      </c>
      <c r="I629" s="4">
        <v>-48</v>
      </c>
      <c r="J629" s="4">
        <v>-88</v>
      </c>
    </row>
    <row r="630" spans="2:10">
      <c r="B630" s="4">
        <v>4535</v>
      </c>
      <c r="C630" s="4" t="s">
        <v>636</v>
      </c>
      <c r="D630" s="5">
        <v>0.23519999999999999</v>
      </c>
      <c r="E630" s="4">
        <v>2.5</v>
      </c>
      <c r="F630" s="4">
        <v>0</v>
      </c>
      <c r="G630" s="6">
        <v>2500</v>
      </c>
      <c r="H630" s="4">
        <v>463</v>
      </c>
      <c r="I630" s="4">
        <v>288</v>
      </c>
      <c r="J630" s="4">
        <v>88</v>
      </c>
    </row>
    <row r="631" spans="2:10">
      <c r="B631" s="4">
        <v>4609</v>
      </c>
      <c r="C631" s="4" t="s">
        <v>637</v>
      </c>
      <c r="D631" s="5">
        <v>3.0999999999999999E-3</v>
      </c>
      <c r="E631" s="4">
        <v>0.96</v>
      </c>
      <c r="F631" s="4">
        <v>0</v>
      </c>
      <c r="G631" s="4">
        <v>960</v>
      </c>
      <c r="H631" s="4">
        <v>-45</v>
      </c>
      <c r="I631" s="4">
        <v>-112</v>
      </c>
      <c r="J631" s="4">
        <v>-189</v>
      </c>
    </row>
    <row r="632" spans="2:10">
      <c r="B632" s="4">
        <v>4706</v>
      </c>
      <c r="C632" s="4" t="s">
        <v>638</v>
      </c>
      <c r="D632" s="5">
        <v>0.10879999999999999</v>
      </c>
      <c r="E632" s="4">
        <v>1</v>
      </c>
      <c r="F632" s="4">
        <v>0</v>
      </c>
      <c r="G632" s="6">
        <v>1000</v>
      </c>
      <c r="H632" s="4">
        <v>59</v>
      </c>
      <c r="I632" s="4">
        <v>-11</v>
      </c>
      <c r="J632" s="4">
        <v>-91</v>
      </c>
    </row>
    <row r="633" spans="2:10">
      <c r="B633" s="4">
        <v>4711</v>
      </c>
      <c r="C633" s="4" t="s">
        <v>639</v>
      </c>
      <c r="D633" s="5">
        <v>0.3024</v>
      </c>
      <c r="E633" s="4">
        <v>1.4</v>
      </c>
      <c r="F633" s="4">
        <v>0</v>
      </c>
      <c r="G633" s="6">
        <v>1400</v>
      </c>
      <c r="H633" s="4">
        <v>353</v>
      </c>
      <c r="I633" s="4">
        <v>255</v>
      </c>
      <c r="J633" s="4">
        <v>143</v>
      </c>
    </row>
    <row r="634" spans="2:10">
      <c r="B634" s="4">
        <v>4714</v>
      </c>
      <c r="C634" s="4" t="s">
        <v>640</v>
      </c>
      <c r="D634" s="5">
        <v>8.9700000000000002E-2</v>
      </c>
      <c r="E634" s="4">
        <v>1</v>
      </c>
      <c r="F634" s="4">
        <v>0</v>
      </c>
      <c r="G634" s="6">
        <v>1000</v>
      </c>
      <c r="H634" s="4">
        <v>40</v>
      </c>
      <c r="I634" s="4">
        <v>-30</v>
      </c>
      <c r="J634" s="4">
        <v>-110</v>
      </c>
    </row>
    <row r="635" spans="2:10">
      <c r="B635" s="4">
        <v>4716</v>
      </c>
      <c r="C635" s="4" t="s">
        <v>641</v>
      </c>
      <c r="D635" s="5">
        <v>0.14810000000000001</v>
      </c>
      <c r="E635" s="4">
        <v>0.2</v>
      </c>
      <c r="F635" s="4">
        <v>0.8</v>
      </c>
      <c r="G635" s="6">
        <v>1000</v>
      </c>
      <c r="H635" s="4">
        <v>98</v>
      </c>
      <c r="I635" s="4">
        <v>28</v>
      </c>
      <c r="J635" s="4">
        <v>-52</v>
      </c>
    </row>
    <row r="636" spans="2:10">
      <c r="B636" s="4">
        <v>4720</v>
      </c>
      <c r="C636" s="4" t="s">
        <v>642</v>
      </c>
      <c r="D636" s="5">
        <v>0.27700000000000002</v>
      </c>
      <c r="E636" s="4">
        <v>0.2</v>
      </c>
      <c r="F636" s="4">
        <v>0</v>
      </c>
      <c r="G636" s="4">
        <v>200</v>
      </c>
      <c r="H636" s="4">
        <v>45</v>
      </c>
      <c r="I636" s="4">
        <v>31</v>
      </c>
      <c r="J636" s="4">
        <v>15</v>
      </c>
    </row>
    <row r="637" spans="2:10">
      <c r="B637" s="4">
        <v>4721</v>
      </c>
      <c r="C637" s="4" t="s">
        <v>643</v>
      </c>
      <c r="D637" s="5">
        <v>0.16309999999999999</v>
      </c>
      <c r="E637" s="4">
        <v>2</v>
      </c>
      <c r="F637" s="4">
        <v>0.37</v>
      </c>
      <c r="G637" s="6">
        <v>2370</v>
      </c>
      <c r="H637" s="4">
        <v>268</v>
      </c>
      <c r="I637" s="4">
        <v>102</v>
      </c>
      <c r="J637" s="4">
        <v>-87</v>
      </c>
    </row>
    <row r="638" spans="2:10">
      <c r="B638" s="4">
        <v>4722</v>
      </c>
      <c r="C638" s="4" t="s">
        <v>644</v>
      </c>
      <c r="D638" s="5">
        <v>9.9000000000000005E-2</v>
      </c>
      <c r="E638" s="4">
        <v>0.8</v>
      </c>
      <c r="F638" s="4">
        <v>0</v>
      </c>
      <c r="G638" s="4">
        <v>800</v>
      </c>
      <c r="H638" s="4">
        <v>39</v>
      </c>
      <c r="I638" s="4">
        <v>-17</v>
      </c>
      <c r="J638" s="4">
        <v>-81</v>
      </c>
    </row>
    <row r="639" spans="2:10">
      <c r="B639" s="4">
        <v>4725</v>
      </c>
      <c r="C639" s="4" t="s">
        <v>645</v>
      </c>
      <c r="D639" s="5">
        <v>3.78E-2</v>
      </c>
      <c r="E639" s="4">
        <v>8.31</v>
      </c>
      <c r="F639" s="4">
        <v>0</v>
      </c>
      <c r="G639" s="6">
        <v>8310</v>
      </c>
      <c r="H639" s="4">
        <v>-101</v>
      </c>
      <c r="I639" s="4">
        <v>-683</v>
      </c>
      <c r="J639" s="4">
        <v>-1348</v>
      </c>
    </row>
    <row r="640" spans="2:10">
      <c r="B640" s="4">
        <v>4733</v>
      </c>
      <c r="C640" s="4" t="s">
        <v>646</v>
      </c>
      <c r="D640" s="5">
        <v>5.9999999999999995E-4</v>
      </c>
      <c r="E640" s="4">
        <v>0.12</v>
      </c>
      <c r="F640" s="4">
        <v>1</v>
      </c>
      <c r="G640" s="6">
        <v>1120</v>
      </c>
      <c r="H640" s="4">
        <v>-55</v>
      </c>
      <c r="I640" s="4">
        <v>-134</v>
      </c>
      <c r="J640" s="4">
        <v>-223</v>
      </c>
    </row>
    <row r="641" spans="2:10">
      <c r="B641" s="4">
        <v>4736</v>
      </c>
      <c r="C641" s="4" t="s">
        <v>647</v>
      </c>
      <c r="D641" s="5">
        <v>0.23119999999999999</v>
      </c>
      <c r="E641" s="4">
        <v>4</v>
      </c>
      <c r="F641" s="4">
        <v>0</v>
      </c>
      <c r="G641" s="6">
        <v>4000</v>
      </c>
      <c r="H641" s="4">
        <v>725</v>
      </c>
      <c r="I641" s="4">
        <v>445</v>
      </c>
      <c r="J641" s="4">
        <v>125</v>
      </c>
    </row>
    <row r="642" spans="2:10">
      <c r="B642" s="4">
        <v>4737</v>
      </c>
      <c r="C642" s="4" t="s">
        <v>648</v>
      </c>
      <c r="D642" s="5">
        <v>6.4500000000000002E-2</v>
      </c>
      <c r="E642" s="4">
        <v>3</v>
      </c>
      <c r="F642" s="4">
        <v>1</v>
      </c>
      <c r="G642" s="6">
        <v>4000</v>
      </c>
      <c r="H642" s="4">
        <v>58</v>
      </c>
      <c r="I642" s="4">
        <v>-222</v>
      </c>
      <c r="J642" s="4">
        <v>-542</v>
      </c>
    </row>
    <row r="643" spans="2:10">
      <c r="B643" s="4">
        <v>4746</v>
      </c>
      <c r="C643" s="4" t="s">
        <v>649</v>
      </c>
      <c r="D643" s="5">
        <v>0.17469999999999999</v>
      </c>
      <c r="E643" s="4">
        <v>3.5</v>
      </c>
      <c r="F643" s="4">
        <v>0</v>
      </c>
      <c r="G643" s="6">
        <v>3500</v>
      </c>
      <c r="H643" s="4">
        <v>436</v>
      </c>
      <c r="I643" s="4">
        <v>191</v>
      </c>
      <c r="J643" s="4">
        <v>-89</v>
      </c>
    </row>
    <row r="644" spans="2:10">
      <c r="B644" s="4">
        <v>4904</v>
      </c>
      <c r="C644" s="4" t="s">
        <v>650</v>
      </c>
      <c r="D644" s="5">
        <v>0.20669999999999999</v>
      </c>
      <c r="E644" s="4">
        <v>2.5</v>
      </c>
      <c r="F644" s="4">
        <v>0</v>
      </c>
      <c r="G644" s="6">
        <v>2500</v>
      </c>
      <c r="H644" s="4">
        <v>392</v>
      </c>
      <c r="I644" s="4">
        <v>217</v>
      </c>
      <c r="J644" s="4">
        <v>17</v>
      </c>
    </row>
    <row r="645" spans="2:10">
      <c r="B645" s="4">
        <v>4905</v>
      </c>
      <c r="C645" s="4" t="s">
        <v>651</v>
      </c>
      <c r="D645" s="5">
        <v>6.1400000000000003E-2</v>
      </c>
      <c r="E645" s="4">
        <v>0.5</v>
      </c>
      <c r="F645" s="4">
        <v>0</v>
      </c>
      <c r="G645" s="4">
        <v>500</v>
      </c>
      <c r="H645" s="4">
        <v>6</v>
      </c>
      <c r="I645" s="4">
        <v>-29</v>
      </c>
      <c r="J645" s="4">
        <v>-69</v>
      </c>
    </row>
    <row r="646" spans="2:10">
      <c r="B646" s="4">
        <v>4906</v>
      </c>
      <c r="C646" s="4" t="s">
        <v>652</v>
      </c>
      <c r="D646" s="5">
        <v>9.5000000000000001E-2</v>
      </c>
      <c r="E646" s="4">
        <v>0.9</v>
      </c>
      <c r="F646" s="4">
        <v>0.3</v>
      </c>
      <c r="G646" s="6">
        <v>1200</v>
      </c>
      <c r="H646" s="4">
        <v>54</v>
      </c>
      <c r="I646" s="4">
        <v>-30</v>
      </c>
      <c r="J646" s="4">
        <v>-126</v>
      </c>
    </row>
    <row r="647" spans="2:10">
      <c r="B647" s="4">
        <v>4908</v>
      </c>
      <c r="C647" s="4" t="s">
        <v>653</v>
      </c>
      <c r="D647" s="5">
        <v>7.9100000000000004E-2</v>
      </c>
      <c r="E647" s="4">
        <v>1.6</v>
      </c>
      <c r="F647" s="4">
        <v>0.5</v>
      </c>
      <c r="G647" s="6">
        <v>2100</v>
      </c>
      <c r="H647" s="4">
        <v>61</v>
      </c>
      <c r="I647" s="4">
        <v>-86</v>
      </c>
      <c r="J647" s="4">
        <v>-254</v>
      </c>
    </row>
    <row r="648" spans="2:10">
      <c r="B648" s="4">
        <v>4909</v>
      </c>
      <c r="C648" s="4" t="s">
        <v>654</v>
      </c>
      <c r="D648" s="5">
        <v>4.0800000000000003E-2</v>
      </c>
      <c r="E648" s="4">
        <v>1.7</v>
      </c>
      <c r="F648" s="4">
        <v>1</v>
      </c>
      <c r="G648" s="6">
        <v>2700</v>
      </c>
      <c r="H648" s="4">
        <v>-25</v>
      </c>
      <c r="I648" s="4">
        <v>-214</v>
      </c>
      <c r="J648" s="4">
        <v>-430</v>
      </c>
    </row>
    <row r="649" spans="2:10">
      <c r="B649" s="4">
        <v>4912</v>
      </c>
      <c r="C649" s="4" t="s">
        <v>655</v>
      </c>
      <c r="D649" s="5">
        <v>0</v>
      </c>
      <c r="E649" s="4">
        <v>1.1120000000000001</v>
      </c>
      <c r="F649" s="4">
        <v>0</v>
      </c>
      <c r="G649" s="6">
        <v>1112</v>
      </c>
      <c r="H649" s="4">
        <v>-56</v>
      </c>
      <c r="I649" s="4">
        <v>-133</v>
      </c>
      <c r="J649" s="4">
        <v>-222</v>
      </c>
    </row>
    <row r="650" spans="2:10">
      <c r="B650" s="4">
        <v>4919</v>
      </c>
      <c r="C650" s="4" t="s">
        <v>656</v>
      </c>
      <c r="D650" s="5">
        <v>0.1019</v>
      </c>
      <c r="E650" s="4">
        <v>3</v>
      </c>
      <c r="F650" s="4">
        <v>0</v>
      </c>
      <c r="G650" s="6">
        <v>3000</v>
      </c>
      <c r="H650" s="4">
        <v>156</v>
      </c>
      <c r="I650" s="4">
        <v>-54</v>
      </c>
      <c r="J650" s="4">
        <v>-294</v>
      </c>
    </row>
    <row r="651" spans="2:10">
      <c r="B651" s="4">
        <v>4930</v>
      </c>
      <c r="C651" s="4" t="s">
        <v>657</v>
      </c>
      <c r="D651" s="5">
        <v>4.02E-2</v>
      </c>
      <c r="E651" s="4">
        <v>1.2</v>
      </c>
      <c r="F651" s="4">
        <v>0</v>
      </c>
      <c r="G651" s="6">
        <v>1200</v>
      </c>
      <c r="H651" s="4">
        <v>-12</v>
      </c>
      <c r="I651" s="4">
        <v>-96</v>
      </c>
      <c r="J651" s="4">
        <v>-192</v>
      </c>
    </row>
    <row r="652" spans="2:10">
      <c r="B652" s="4">
        <v>4938</v>
      </c>
      <c r="C652" s="4" t="s">
        <v>658</v>
      </c>
      <c r="D652" s="5">
        <v>7.4499999999999997E-2</v>
      </c>
      <c r="E652" s="4">
        <v>1.45</v>
      </c>
      <c r="F652" s="4">
        <v>0</v>
      </c>
      <c r="G652" s="6">
        <v>1450</v>
      </c>
      <c r="H652" s="4">
        <v>36</v>
      </c>
      <c r="I652" s="4">
        <v>-66</v>
      </c>
      <c r="J652" s="4">
        <v>-182</v>
      </c>
    </row>
    <row r="653" spans="2:10">
      <c r="B653" s="4">
        <v>4942</v>
      </c>
      <c r="C653" s="4" t="s">
        <v>659</v>
      </c>
      <c r="D653" s="5">
        <v>3.6499999999999998E-2</v>
      </c>
      <c r="E653" s="4">
        <v>2.5</v>
      </c>
      <c r="F653" s="4">
        <v>0.5</v>
      </c>
      <c r="G653" s="6">
        <v>3000</v>
      </c>
      <c r="H653" s="4">
        <v>-41</v>
      </c>
      <c r="I653" s="4">
        <v>-251</v>
      </c>
      <c r="J653" s="4">
        <v>-491</v>
      </c>
    </row>
    <row r="654" spans="2:10">
      <c r="B654" s="4">
        <v>4944</v>
      </c>
      <c r="C654" s="4" t="s">
        <v>660</v>
      </c>
      <c r="D654" s="5">
        <v>0.19339999999999999</v>
      </c>
      <c r="E654" s="4">
        <v>1.5</v>
      </c>
      <c r="F654" s="4">
        <v>1</v>
      </c>
      <c r="G654" s="6">
        <v>2500</v>
      </c>
      <c r="H654" s="4">
        <v>359</v>
      </c>
      <c r="I654" s="4">
        <v>184</v>
      </c>
      <c r="J654" s="4">
        <v>-17</v>
      </c>
    </row>
    <row r="655" spans="2:10">
      <c r="B655" s="4">
        <v>4946</v>
      </c>
      <c r="C655" s="4" t="s">
        <v>661</v>
      </c>
      <c r="D655" s="5">
        <v>0.2833</v>
      </c>
      <c r="E655" s="4">
        <v>2.2501799999999998</v>
      </c>
      <c r="F655" s="4">
        <v>1.1250899999999999</v>
      </c>
      <c r="G655" s="6">
        <v>3375</v>
      </c>
      <c r="H655" s="4">
        <v>787</v>
      </c>
      <c r="I655" s="4">
        <v>551</v>
      </c>
      <c r="J655" s="4">
        <v>281</v>
      </c>
    </row>
    <row r="656" spans="2:10">
      <c r="B656" s="4">
        <v>4965</v>
      </c>
      <c r="C656" s="4" t="s">
        <v>662</v>
      </c>
      <c r="D656" s="5">
        <v>0</v>
      </c>
      <c r="E656" s="4">
        <v>1.75526</v>
      </c>
      <c r="F656" s="4">
        <v>0</v>
      </c>
      <c r="G656" s="6">
        <v>1755</v>
      </c>
      <c r="H656" s="4">
        <v>-88</v>
      </c>
      <c r="I656" s="4">
        <v>-211</v>
      </c>
      <c r="J656" s="4">
        <v>-351</v>
      </c>
    </row>
    <row r="657" spans="2:10">
      <c r="B657" s="4">
        <v>5007</v>
      </c>
      <c r="C657" s="4" t="s">
        <v>663</v>
      </c>
      <c r="D657" s="5">
        <v>0.1993</v>
      </c>
      <c r="E657" s="4">
        <v>1.94</v>
      </c>
      <c r="F657" s="4">
        <v>0</v>
      </c>
      <c r="G657" s="6">
        <v>1940</v>
      </c>
      <c r="H657" s="4">
        <v>290</v>
      </c>
      <c r="I657" s="4">
        <v>154</v>
      </c>
      <c r="J657" s="4">
        <v>-1</v>
      </c>
    </row>
    <row r="658" spans="2:10">
      <c r="B658" s="4">
        <v>5009</v>
      </c>
      <c r="C658" s="4" t="s">
        <v>664</v>
      </c>
      <c r="D658" s="5">
        <v>0.35320000000000001</v>
      </c>
      <c r="E658" s="4">
        <v>0</v>
      </c>
      <c r="F658" s="4">
        <v>0.5</v>
      </c>
      <c r="G658" s="4">
        <v>500</v>
      </c>
      <c r="H658" s="4">
        <v>152</v>
      </c>
      <c r="I658" s="4">
        <v>117</v>
      </c>
      <c r="J658" s="4">
        <v>77</v>
      </c>
    </row>
    <row r="659" spans="2:10">
      <c r="B659" s="4">
        <v>5013</v>
      </c>
      <c r="C659" s="4" t="s">
        <v>665</v>
      </c>
      <c r="D659" s="5">
        <v>9.6799999999999997E-2</v>
      </c>
      <c r="E659" s="4">
        <v>0.49990000000000001</v>
      </c>
      <c r="F659" s="4">
        <v>1.2</v>
      </c>
      <c r="G659" s="6">
        <v>1700</v>
      </c>
      <c r="H659" s="4">
        <v>80</v>
      </c>
      <c r="I659" s="4">
        <v>-39</v>
      </c>
      <c r="J659" s="4">
        <v>-175</v>
      </c>
    </row>
    <row r="660" spans="2:10">
      <c r="B660" s="4">
        <v>5014</v>
      </c>
      <c r="C660" s="4" t="s">
        <v>666</v>
      </c>
      <c r="D660" s="5">
        <v>0.1749</v>
      </c>
      <c r="E660" s="4">
        <v>0.2</v>
      </c>
      <c r="F660" s="4">
        <v>0.4</v>
      </c>
      <c r="G660" s="4">
        <v>600</v>
      </c>
      <c r="H660" s="4">
        <v>75</v>
      </c>
      <c r="I660" s="4">
        <v>33</v>
      </c>
      <c r="J660" s="4">
        <v>-15</v>
      </c>
    </row>
    <row r="661" spans="2:10">
      <c r="B661" s="4">
        <v>5015</v>
      </c>
      <c r="C661" s="4" t="s">
        <v>667</v>
      </c>
      <c r="D661" s="5">
        <v>0.2913</v>
      </c>
      <c r="E661" s="4">
        <v>0.4</v>
      </c>
      <c r="F661" s="4">
        <v>0</v>
      </c>
      <c r="G661" s="4">
        <v>400</v>
      </c>
      <c r="H661" s="4">
        <v>97</v>
      </c>
      <c r="I661" s="4">
        <v>69</v>
      </c>
      <c r="J661" s="4">
        <v>37</v>
      </c>
    </row>
    <row r="662" spans="2:10">
      <c r="B662" s="4">
        <v>5016</v>
      </c>
      <c r="C662" s="4" t="s">
        <v>668</v>
      </c>
      <c r="D662" s="5">
        <v>0.30259999999999998</v>
      </c>
      <c r="E662" s="4">
        <v>1.5</v>
      </c>
      <c r="F662" s="4">
        <v>1</v>
      </c>
      <c r="G662" s="6">
        <v>2500</v>
      </c>
      <c r="H662" s="4">
        <v>632</v>
      </c>
      <c r="I662" s="4">
        <v>457</v>
      </c>
      <c r="J662" s="4">
        <v>257</v>
      </c>
    </row>
    <row r="663" spans="2:10">
      <c r="B663" s="4">
        <v>5102</v>
      </c>
      <c r="C663" s="4" t="s">
        <v>669</v>
      </c>
      <c r="D663" s="5">
        <v>0.25600000000000001</v>
      </c>
      <c r="E663" s="4">
        <v>0.5</v>
      </c>
      <c r="F663" s="4">
        <v>0.5</v>
      </c>
      <c r="G663" s="6">
        <v>1000</v>
      </c>
      <c r="H663" s="4">
        <v>206</v>
      </c>
      <c r="I663" s="4">
        <v>136</v>
      </c>
      <c r="J663" s="4">
        <v>56</v>
      </c>
    </row>
    <row r="664" spans="2:10">
      <c r="B664" s="4">
        <v>5203</v>
      </c>
      <c r="C664" s="4" t="s">
        <v>670</v>
      </c>
      <c r="D664" s="5">
        <v>4.8999999999999998E-3</v>
      </c>
      <c r="E664" s="4">
        <v>7</v>
      </c>
      <c r="F664" s="4">
        <v>0</v>
      </c>
      <c r="G664" s="6">
        <v>7000</v>
      </c>
      <c r="H664" s="4">
        <v>-316</v>
      </c>
      <c r="I664" s="4">
        <v>-806</v>
      </c>
      <c r="J664" s="4">
        <v>-1366</v>
      </c>
    </row>
    <row r="665" spans="2:10">
      <c r="B665" s="4">
        <v>5205</v>
      </c>
      <c r="C665" s="4" t="s">
        <v>671</v>
      </c>
      <c r="D665" s="5">
        <v>2.0000000000000001E-4</v>
      </c>
      <c r="E665" s="4">
        <v>0.26884999999999998</v>
      </c>
      <c r="F665" s="4">
        <v>0</v>
      </c>
      <c r="G665" s="4">
        <v>269</v>
      </c>
      <c r="H665" s="4">
        <v>-13</v>
      </c>
      <c r="I665" s="4">
        <v>-32</v>
      </c>
      <c r="J665" s="4">
        <v>-54</v>
      </c>
    </row>
    <row r="666" spans="2:10">
      <c r="B666" s="4">
        <v>5209</v>
      </c>
      <c r="C666" s="4" t="s">
        <v>672</v>
      </c>
      <c r="D666" s="5">
        <v>0.2462</v>
      </c>
      <c r="E666" s="4">
        <v>4.0199999999999996</v>
      </c>
      <c r="F666" s="4">
        <v>0</v>
      </c>
      <c r="G666" s="6">
        <v>4020</v>
      </c>
      <c r="H666" s="4">
        <v>789</v>
      </c>
      <c r="I666" s="4">
        <v>507</v>
      </c>
      <c r="J666" s="4">
        <v>186</v>
      </c>
    </row>
    <row r="667" spans="2:10">
      <c r="B667" s="4">
        <v>5210</v>
      </c>
      <c r="C667" s="4" t="s">
        <v>673</v>
      </c>
      <c r="D667" s="5">
        <v>0.12180000000000001</v>
      </c>
      <c r="E667" s="4">
        <v>0.502</v>
      </c>
      <c r="F667" s="4">
        <v>0</v>
      </c>
      <c r="G667" s="4">
        <v>502</v>
      </c>
      <c r="H667" s="4">
        <v>36</v>
      </c>
      <c r="I667" s="4">
        <v>1</v>
      </c>
      <c r="J667" s="4">
        <v>-39</v>
      </c>
    </row>
    <row r="668" spans="2:10">
      <c r="B668" s="4">
        <v>5211</v>
      </c>
      <c r="C668" s="4" t="s">
        <v>674</v>
      </c>
      <c r="D668" s="5">
        <v>8.4699999999999998E-2</v>
      </c>
      <c r="E668" s="4">
        <v>2.95</v>
      </c>
      <c r="F668" s="4">
        <v>0</v>
      </c>
      <c r="G668" s="6">
        <v>2950</v>
      </c>
      <c r="H668" s="4">
        <v>102</v>
      </c>
      <c r="I668" s="4">
        <v>-104</v>
      </c>
      <c r="J668" s="4">
        <v>-340</v>
      </c>
    </row>
    <row r="669" spans="2:10">
      <c r="B669" s="4">
        <v>5212</v>
      </c>
      <c r="C669" s="4" t="s">
        <v>675</v>
      </c>
      <c r="D669" s="5">
        <v>0.18</v>
      </c>
      <c r="E669" s="4">
        <v>0.28000000000000003</v>
      </c>
      <c r="F669" s="4">
        <v>0</v>
      </c>
      <c r="G669" s="4">
        <v>280</v>
      </c>
      <c r="H669" s="4">
        <v>36</v>
      </c>
      <c r="I669" s="4">
        <v>17</v>
      </c>
      <c r="J669" s="4">
        <v>-6</v>
      </c>
    </row>
    <row r="670" spans="2:10">
      <c r="B670" s="4">
        <v>5213</v>
      </c>
      <c r="C670" s="4" t="s">
        <v>676</v>
      </c>
      <c r="D670" s="5">
        <v>1.6999999999999999E-3</v>
      </c>
      <c r="E670" s="4">
        <v>0.7</v>
      </c>
      <c r="F670" s="4">
        <v>4</v>
      </c>
      <c r="G670" s="6">
        <v>4700</v>
      </c>
      <c r="H670" s="4">
        <v>-227</v>
      </c>
      <c r="I670" s="4">
        <v>-556</v>
      </c>
      <c r="J670" s="4">
        <v>-932</v>
      </c>
    </row>
    <row r="671" spans="2:10">
      <c r="B671" s="4">
        <v>5305</v>
      </c>
      <c r="C671" s="4" t="s">
        <v>677</v>
      </c>
      <c r="D671" s="5">
        <v>0.14810000000000001</v>
      </c>
      <c r="E671" s="4">
        <v>0.7</v>
      </c>
      <c r="F671" s="4">
        <v>0</v>
      </c>
      <c r="G671" s="4">
        <v>700</v>
      </c>
      <c r="H671" s="4">
        <v>69</v>
      </c>
      <c r="I671" s="4">
        <v>20</v>
      </c>
      <c r="J671" s="4">
        <v>-36</v>
      </c>
    </row>
    <row r="672" spans="2:10">
      <c r="B672" s="4">
        <v>5312</v>
      </c>
      <c r="C672" s="4" t="s">
        <v>678</v>
      </c>
      <c r="D672" s="5">
        <v>0.10299999999999999</v>
      </c>
      <c r="E672" s="4">
        <v>2.2000000000000002</v>
      </c>
      <c r="F672" s="4">
        <v>0</v>
      </c>
      <c r="G672" s="6">
        <v>2200</v>
      </c>
      <c r="H672" s="4">
        <v>117</v>
      </c>
      <c r="I672" s="4">
        <v>-37</v>
      </c>
      <c r="J672" s="4">
        <v>-213</v>
      </c>
    </row>
    <row r="673" spans="2:10">
      <c r="B673" s="4">
        <v>5317</v>
      </c>
      <c r="C673" s="4" t="s">
        <v>679</v>
      </c>
      <c r="D673" s="5">
        <v>6.3600000000000004E-2</v>
      </c>
      <c r="E673" s="4">
        <v>0.5</v>
      </c>
      <c r="F673" s="4">
        <v>0</v>
      </c>
      <c r="G673" s="4">
        <v>500</v>
      </c>
      <c r="H673" s="4">
        <v>7</v>
      </c>
      <c r="I673" s="4">
        <v>-28</v>
      </c>
      <c r="J673" s="4">
        <v>-68</v>
      </c>
    </row>
    <row r="674" spans="2:10">
      <c r="B674" s="4">
        <v>5324</v>
      </c>
      <c r="C674" s="4" t="s">
        <v>680</v>
      </c>
      <c r="D674" s="5">
        <v>0.20480000000000001</v>
      </c>
      <c r="E674" s="4">
        <v>0.3</v>
      </c>
      <c r="F674" s="4">
        <v>0</v>
      </c>
      <c r="G674" s="4">
        <v>300</v>
      </c>
      <c r="H674" s="4">
        <v>46</v>
      </c>
      <c r="I674" s="4">
        <v>25</v>
      </c>
      <c r="J674" s="4">
        <v>1</v>
      </c>
    </row>
    <row r="675" spans="2:10">
      <c r="B675" s="4">
        <v>5328</v>
      </c>
      <c r="C675" s="4" t="s">
        <v>681</v>
      </c>
      <c r="D675" s="5">
        <v>0.1593</v>
      </c>
      <c r="E675" s="4">
        <v>0.09</v>
      </c>
      <c r="F675" s="4">
        <v>0.21</v>
      </c>
      <c r="G675" s="4">
        <v>300</v>
      </c>
      <c r="H675" s="4">
        <v>33</v>
      </c>
      <c r="I675" s="4">
        <v>12</v>
      </c>
      <c r="J675" s="4">
        <v>-12</v>
      </c>
    </row>
    <row r="676" spans="2:10">
      <c r="B676" s="4">
        <v>5344</v>
      </c>
      <c r="C676" s="4" t="s">
        <v>682</v>
      </c>
      <c r="D676" s="5">
        <v>0</v>
      </c>
      <c r="E676" s="4">
        <v>0.92527000000000004</v>
      </c>
      <c r="F676" s="4">
        <v>0</v>
      </c>
      <c r="G676" s="4">
        <v>925</v>
      </c>
      <c r="H676" s="4">
        <v>-46</v>
      </c>
      <c r="I676" s="4">
        <v>-111</v>
      </c>
      <c r="J676" s="4">
        <v>-185</v>
      </c>
    </row>
    <row r="677" spans="2:10">
      <c r="B677" s="4">
        <v>5347</v>
      </c>
      <c r="C677" s="4" t="s">
        <v>683</v>
      </c>
      <c r="D677" s="5">
        <v>1.06E-2</v>
      </c>
      <c r="E677" s="4">
        <v>0.6</v>
      </c>
      <c r="F677" s="4">
        <v>0</v>
      </c>
      <c r="G677" s="4">
        <v>600</v>
      </c>
      <c r="H677" s="4">
        <v>-24</v>
      </c>
      <c r="I677" s="4">
        <v>-66</v>
      </c>
      <c r="J677" s="4">
        <v>-114</v>
      </c>
    </row>
    <row r="678" spans="2:10">
      <c r="B678" s="4">
        <v>5349</v>
      </c>
      <c r="C678" s="4" t="s">
        <v>684</v>
      </c>
      <c r="D678" s="5">
        <v>2.0000000000000001E-4</v>
      </c>
      <c r="E678" s="4">
        <v>0.8</v>
      </c>
      <c r="F678" s="4">
        <v>0.26379999999999998</v>
      </c>
      <c r="G678" s="6">
        <v>1064</v>
      </c>
      <c r="H678" s="4">
        <v>-53</v>
      </c>
      <c r="I678" s="4">
        <v>-127</v>
      </c>
      <c r="J678" s="4">
        <v>-213</v>
      </c>
    </row>
    <row r="679" spans="2:10">
      <c r="B679" s="4">
        <v>5351</v>
      </c>
      <c r="C679" s="4" t="s">
        <v>685</v>
      </c>
      <c r="D679" s="5">
        <v>0.2336</v>
      </c>
      <c r="E679" s="4">
        <v>0.12</v>
      </c>
      <c r="F679" s="4">
        <v>0.2</v>
      </c>
      <c r="G679" s="4">
        <v>320</v>
      </c>
      <c r="H679" s="4">
        <v>59</v>
      </c>
      <c r="I679" s="4">
        <v>36</v>
      </c>
      <c r="J679" s="4">
        <v>11</v>
      </c>
    </row>
    <row r="680" spans="2:10">
      <c r="B680" s="4">
        <v>5353</v>
      </c>
      <c r="C680" s="4" t="s">
        <v>686</v>
      </c>
      <c r="D680" s="5">
        <v>0.21390000000000001</v>
      </c>
      <c r="E680" s="4">
        <v>0.36</v>
      </c>
      <c r="F680" s="4">
        <v>0</v>
      </c>
      <c r="G680" s="4">
        <v>360</v>
      </c>
      <c r="H680" s="4">
        <v>59</v>
      </c>
      <c r="I680" s="4">
        <v>34</v>
      </c>
      <c r="J680" s="4">
        <v>5</v>
      </c>
    </row>
    <row r="681" spans="2:10">
      <c r="B681" s="4">
        <v>5356</v>
      </c>
      <c r="C681" s="4" t="s">
        <v>687</v>
      </c>
      <c r="D681" s="5">
        <v>0.1052</v>
      </c>
      <c r="E681" s="4">
        <v>5</v>
      </c>
      <c r="F681" s="4">
        <v>0</v>
      </c>
      <c r="G681" s="6">
        <v>5000</v>
      </c>
      <c r="H681" s="4">
        <v>276</v>
      </c>
      <c r="I681" s="4">
        <v>-74</v>
      </c>
      <c r="J681" s="4">
        <v>-474</v>
      </c>
    </row>
    <row r="682" spans="2:10">
      <c r="B682" s="4">
        <v>5371</v>
      </c>
      <c r="C682" s="4" t="s">
        <v>688</v>
      </c>
      <c r="D682" s="5">
        <v>7.2800000000000004E-2</v>
      </c>
      <c r="E682" s="4">
        <v>3.5</v>
      </c>
      <c r="F682" s="4">
        <v>0</v>
      </c>
      <c r="G682" s="6">
        <v>3500</v>
      </c>
      <c r="H682" s="4">
        <v>80</v>
      </c>
      <c r="I682" s="4">
        <v>-165</v>
      </c>
      <c r="J682" s="4">
        <v>-445</v>
      </c>
    </row>
    <row r="683" spans="2:10">
      <c r="B683" s="4">
        <v>5383</v>
      </c>
      <c r="C683" s="4" t="s">
        <v>689</v>
      </c>
      <c r="D683" s="5">
        <v>8.0999999999999996E-3</v>
      </c>
      <c r="E683" s="4">
        <v>0.7</v>
      </c>
      <c r="F683" s="4">
        <v>0.3</v>
      </c>
      <c r="G683" s="6">
        <v>1000</v>
      </c>
      <c r="H683" s="4">
        <v>-42</v>
      </c>
      <c r="I683" s="4">
        <v>-112</v>
      </c>
      <c r="J683" s="4">
        <v>-192</v>
      </c>
    </row>
    <row r="684" spans="2:10">
      <c r="B684" s="4">
        <v>5388</v>
      </c>
      <c r="C684" s="4" t="s">
        <v>690</v>
      </c>
      <c r="D684" s="5">
        <v>0.11550000000000001</v>
      </c>
      <c r="E684" s="4">
        <v>1.55</v>
      </c>
      <c r="F684" s="4">
        <v>0</v>
      </c>
      <c r="G684" s="6">
        <v>1550</v>
      </c>
      <c r="H684" s="4">
        <v>102</v>
      </c>
      <c r="I684" s="4">
        <v>-7</v>
      </c>
      <c r="J684" s="4">
        <v>-131</v>
      </c>
    </row>
    <row r="685" spans="2:10">
      <c r="B685" s="4">
        <v>5392</v>
      </c>
      <c r="C685" s="4" t="s">
        <v>691</v>
      </c>
      <c r="D685" s="5">
        <v>0.12139999999999999</v>
      </c>
      <c r="E685" s="4">
        <v>3.5</v>
      </c>
      <c r="F685" s="4">
        <v>0.5</v>
      </c>
      <c r="G685" s="6">
        <v>4000</v>
      </c>
      <c r="H685" s="4">
        <v>286</v>
      </c>
      <c r="I685" s="4">
        <v>6</v>
      </c>
      <c r="J685" s="4">
        <v>-314</v>
      </c>
    </row>
    <row r="686" spans="2:10">
      <c r="B686" s="4">
        <v>5398</v>
      </c>
      <c r="C686" s="4" t="s">
        <v>692</v>
      </c>
      <c r="D686" s="5">
        <v>0.2581</v>
      </c>
      <c r="E686" s="4">
        <v>0.2</v>
      </c>
      <c r="F686" s="4">
        <v>0</v>
      </c>
      <c r="G686" s="4">
        <v>200</v>
      </c>
      <c r="H686" s="4">
        <v>42</v>
      </c>
      <c r="I686" s="4">
        <v>28</v>
      </c>
      <c r="J686" s="4">
        <v>12</v>
      </c>
    </row>
    <row r="687" spans="2:10">
      <c r="B687" s="4">
        <v>5403</v>
      </c>
      <c r="C687" s="4" t="s">
        <v>693</v>
      </c>
      <c r="D687" s="5">
        <v>8.5500000000000007E-2</v>
      </c>
      <c r="E687" s="4">
        <v>1.79</v>
      </c>
      <c r="F687" s="4">
        <v>0.21</v>
      </c>
      <c r="G687" s="6">
        <v>2000</v>
      </c>
      <c r="H687" s="4">
        <v>71</v>
      </c>
      <c r="I687" s="4">
        <v>-69</v>
      </c>
      <c r="J687" s="4">
        <v>-229</v>
      </c>
    </row>
    <row r="688" spans="2:10">
      <c r="B688" s="4">
        <v>5410</v>
      </c>
      <c r="C688" s="4" t="s">
        <v>694</v>
      </c>
      <c r="D688" s="5">
        <v>0</v>
      </c>
      <c r="E688" s="4">
        <v>0.57999999999999996</v>
      </c>
      <c r="F688" s="4">
        <v>0.59</v>
      </c>
      <c r="G688" s="6">
        <v>1170</v>
      </c>
      <c r="H688" s="4">
        <v>-59</v>
      </c>
      <c r="I688" s="4">
        <v>-140</v>
      </c>
      <c r="J688" s="4">
        <v>-234</v>
      </c>
    </row>
    <row r="689" spans="2:10">
      <c r="B689" s="4">
        <v>5425</v>
      </c>
      <c r="C689" s="4" t="s">
        <v>695</v>
      </c>
      <c r="D689" s="5">
        <v>0.1464</v>
      </c>
      <c r="E689" s="4">
        <v>1.2</v>
      </c>
      <c r="F689" s="4">
        <v>0</v>
      </c>
      <c r="G689" s="6">
        <v>1200</v>
      </c>
      <c r="H689" s="4">
        <v>116</v>
      </c>
      <c r="I689" s="4">
        <v>32</v>
      </c>
      <c r="J689" s="4">
        <v>-64</v>
      </c>
    </row>
    <row r="690" spans="2:10">
      <c r="B690" s="4">
        <v>5426</v>
      </c>
      <c r="C690" s="4" t="s">
        <v>696</v>
      </c>
      <c r="D690" s="5">
        <v>0.20480000000000001</v>
      </c>
      <c r="E690" s="4">
        <v>0.91</v>
      </c>
      <c r="F690" s="4">
        <v>0</v>
      </c>
      <c r="G690" s="4">
        <v>910</v>
      </c>
      <c r="H690" s="4">
        <v>141</v>
      </c>
      <c r="I690" s="4">
        <v>77</v>
      </c>
      <c r="J690" s="4">
        <v>4</v>
      </c>
    </row>
    <row r="691" spans="2:10">
      <c r="B691" s="4">
        <v>5434</v>
      </c>
      <c r="C691" s="4" t="s">
        <v>697</v>
      </c>
      <c r="D691" s="5">
        <v>0.25030000000000002</v>
      </c>
      <c r="E691" s="4">
        <v>2.8</v>
      </c>
      <c r="F691" s="4">
        <v>0.2</v>
      </c>
      <c r="G691" s="6">
        <v>3000</v>
      </c>
      <c r="H691" s="4">
        <v>601</v>
      </c>
      <c r="I691" s="4">
        <v>391</v>
      </c>
      <c r="J691" s="4">
        <v>151</v>
      </c>
    </row>
    <row r="692" spans="2:10">
      <c r="B692" s="4">
        <v>5438</v>
      </c>
      <c r="C692" s="4" t="s">
        <v>698</v>
      </c>
      <c r="D692" s="5">
        <v>9.6799999999999997E-2</v>
      </c>
      <c r="E692" s="4">
        <v>1.6</v>
      </c>
      <c r="F692" s="4">
        <v>0</v>
      </c>
      <c r="G692" s="6">
        <v>1600</v>
      </c>
      <c r="H692" s="4">
        <v>75</v>
      </c>
      <c r="I692" s="4">
        <v>-37</v>
      </c>
      <c r="J692" s="4">
        <v>-165</v>
      </c>
    </row>
    <row r="693" spans="2:10">
      <c r="B693" s="4">
        <v>5439</v>
      </c>
      <c r="C693" s="4" t="s">
        <v>699</v>
      </c>
      <c r="D693" s="5">
        <v>0.1986</v>
      </c>
      <c r="E693" s="4">
        <v>3</v>
      </c>
      <c r="F693" s="4">
        <v>0</v>
      </c>
      <c r="G693" s="6">
        <v>3000</v>
      </c>
      <c r="H693" s="4">
        <v>446</v>
      </c>
      <c r="I693" s="4">
        <v>236</v>
      </c>
      <c r="J693" s="4">
        <v>-4</v>
      </c>
    </row>
    <row r="694" spans="2:10">
      <c r="B694" s="4">
        <v>5443</v>
      </c>
      <c r="C694" s="4" t="s">
        <v>700</v>
      </c>
      <c r="D694" s="5">
        <v>0.21640000000000001</v>
      </c>
      <c r="E694" s="4">
        <v>0.70516000000000001</v>
      </c>
      <c r="F694" s="4">
        <v>0</v>
      </c>
      <c r="G694" s="4">
        <v>705</v>
      </c>
      <c r="H694" s="4">
        <v>117</v>
      </c>
      <c r="I694" s="4">
        <v>68</v>
      </c>
      <c r="J694" s="4">
        <v>12</v>
      </c>
    </row>
    <row r="695" spans="2:10">
      <c r="B695" s="4">
        <v>5452</v>
      </c>
      <c r="C695" s="4" t="s">
        <v>701</v>
      </c>
      <c r="D695" s="5">
        <v>0.20860000000000001</v>
      </c>
      <c r="E695" s="4">
        <v>0.34803000000000001</v>
      </c>
      <c r="F695" s="4">
        <v>0.65195999999999998</v>
      </c>
      <c r="G695" s="6">
        <v>1000</v>
      </c>
      <c r="H695" s="4">
        <v>159</v>
      </c>
      <c r="I695" s="4">
        <v>89</v>
      </c>
      <c r="J695" s="4">
        <v>9</v>
      </c>
    </row>
    <row r="696" spans="2:10">
      <c r="B696" s="4">
        <v>5460</v>
      </c>
      <c r="C696" s="4" t="s">
        <v>702</v>
      </c>
      <c r="D696" s="5">
        <v>0.11020000000000001</v>
      </c>
      <c r="E696" s="4">
        <v>0.6</v>
      </c>
      <c r="F696" s="4">
        <v>0</v>
      </c>
      <c r="G696" s="4">
        <v>600</v>
      </c>
      <c r="H696" s="4">
        <v>36</v>
      </c>
      <c r="I696" s="4">
        <v>-6</v>
      </c>
      <c r="J696" s="4">
        <v>-54</v>
      </c>
    </row>
    <row r="697" spans="2:10">
      <c r="B697" s="4">
        <v>5464</v>
      </c>
      <c r="C697" s="4" t="s">
        <v>703</v>
      </c>
      <c r="D697" s="5">
        <v>0.2853</v>
      </c>
      <c r="E697" s="4">
        <v>1</v>
      </c>
      <c r="F697" s="4">
        <v>0</v>
      </c>
      <c r="G697" s="6">
        <v>1000</v>
      </c>
      <c r="H697" s="4">
        <v>235</v>
      </c>
      <c r="I697" s="4">
        <v>165</v>
      </c>
      <c r="J697" s="4">
        <v>85</v>
      </c>
    </row>
    <row r="698" spans="2:10">
      <c r="B698" s="4">
        <v>5466</v>
      </c>
      <c r="C698" s="4" t="s">
        <v>704</v>
      </c>
      <c r="D698" s="5">
        <v>8.4199999999999997E-2</v>
      </c>
      <c r="E698" s="4">
        <v>1</v>
      </c>
      <c r="F698" s="4">
        <v>0</v>
      </c>
      <c r="G698" s="6">
        <v>1000</v>
      </c>
      <c r="H698" s="4">
        <v>34</v>
      </c>
      <c r="I698" s="4">
        <v>-36</v>
      </c>
      <c r="J698" s="4">
        <v>-116</v>
      </c>
    </row>
    <row r="699" spans="2:10">
      <c r="B699" s="4">
        <v>5469</v>
      </c>
      <c r="C699" s="4" t="s">
        <v>705</v>
      </c>
      <c r="D699" s="5">
        <v>1.6299999999999999E-2</v>
      </c>
      <c r="E699" s="4">
        <v>0</v>
      </c>
      <c r="F699" s="4">
        <v>0.38</v>
      </c>
      <c r="G699" s="4">
        <v>380</v>
      </c>
      <c r="H699" s="4">
        <v>-13</v>
      </c>
      <c r="I699" s="4">
        <v>-39</v>
      </c>
      <c r="J699" s="4">
        <v>-70</v>
      </c>
    </row>
    <row r="700" spans="2:10">
      <c r="B700" s="4">
        <v>5471</v>
      </c>
      <c r="C700" s="4" t="s">
        <v>706</v>
      </c>
      <c r="D700" s="5">
        <v>0.01</v>
      </c>
      <c r="E700" s="4">
        <v>4.2</v>
      </c>
      <c r="F700" s="4">
        <v>0</v>
      </c>
      <c r="G700" s="6">
        <v>4200</v>
      </c>
      <c r="H700" s="4">
        <v>-168</v>
      </c>
      <c r="I700" s="4">
        <v>-462</v>
      </c>
      <c r="J700" s="4">
        <v>-798</v>
      </c>
    </row>
    <row r="701" spans="2:10">
      <c r="B701" s="4">
        <v>5475</v>
      </c>
      <c r="C701" s="4" t="s">
        <v>707</v>
      </c>
      <c r="D701" s="5">
        <v>0</v>
      </c>
      <c r="E701" s="4">
        <v>0</v>
      </c>
      <c r="F701" s="4">
        <v>0.5</v>
      </c>
      <c r="G701" s="4">
        <v>500</v>
      </c>
      <c r="H701" s="4">
        <v>-25</v>
      </c>
      <c r="I701" s="4">
        <v>-60</v>
      </c>
      <c r="J701" s="4">
        <v>-100</v>
      </c>
    </row>
    <row r="702" spans="2:10">
      <c r="B702" s="4">
        <v>5478</v>
      </c>
      <c r="C702" s="4" t="s">
        <v>708</v>
      </c>
      <c r="D702" s="5">
        <v>0.159</v>
      </c>
      <c r="E702" s="4">
        <v>6.5</v>
      </c>
      <c r="F702" s="4">
        <v>0.05</v>
      </c>
      <c r="G702" s="6">
        <v>6550</v>
      </c>
      <c r="H702" s="4">
        <v>714</v>
      </c>
      <c r="I702" s="4">
        <v>255</v>
      </c>
      <c r="J702" s="4">
        <v>-269</v>
      </c>
    </row>
    <row r="703" spans="2:10">
      <c r="B703" s="4">
        <v>5480</v>
      </c>
      <c r="C703" s="4" t="s">
        <v>709</v>
      </c>
      <c r="D703" s="5">
        <v>1.17E-2</v>
      </c>
      <c r="E703" s="4">
        <v>1.1000000000000001</v>
      </c>
      <c r="F703" s="4">
        <v>0</v>
      </c>
      <c r="G703" s="6">
        <v>1100</v>
      </c>
      <c r="H703" s="4">
        <v>-42</v>
      </c>
      <c r="I703" s="4">
        <v>-119</v>
      </c>
      <c r="J703" s="4">
        <v>-207</v>
      </c>
    </row>
    <row r="704" spans="2:10">
      <c r="B704" s="4">
        <v>5483</v>
      </c>
      <c r="C704" s="4" t="s">
        <v>710</v>
      </c>
      <c r="D704" s="5">
        <v>7.7399999999999997E-2</v>
      </c>
      <c r="E704" s="4">
        <v>5</v>
      </c>
      <c r="F704" s="4">
        <v>0.5</v>
      </c>
      <c r="G704" s="6">
        <v>5500</v>
      </c>
      <c r="H704" s="4">
        <v>151</v>
      </c>
      <c r="I704" s="4">
        <v>-234</v>
      </c>
      <c r="J704" s="4">
        <v>-674</v>
      </c>
    </row>
    <row r="705" spans="2:10">
      <c r="B705" s="4">
        <v>5484</v>
      </c>
      <c r="C705" s="4" t="s">
        <v>711</v>
      </c>
      <c r="D705" s="5">
        <v>0.20480000000000001</v>
      </c>
      <c r="E705" s="4">
        <v>0</v>
      </c>
      <c r="F705" s="4">
        <v>0.9</v>
      </c>
      <c r="G705" s="4">
        <v>900</v>
      </c>
      <c r="H705" s="4">
        <v>139</v>
      </c>
      <c r="I705" s="4">
        <v>76</v>
      </c>
      <c r="J705" s="4">
        <v>4</v>
      </c>
    </row>
    <row r="706" spans="2:10">
      <c r="B706" s="4">
        <v>5487</v>
      </c>
      <c r="C706" s="4" t="s">
        <v>712</v>
      </c>
      <c r="D706" s="5">
        <v>0.1232</v>
      </c>
      <c r="E706" s="4">
        <v>1</v>
      </c>
      <c r="F706" s="4">
        <v>0</v>
      </c>
      <c r="G706" s="6">
        <v>1000</v>
      </c>
      <c r="H706" s="4">
        <v>73</v>
      </c>
      <c r="I706" s="4">
        <v>3</v>
      </c>
      <c r="J706" s="4">
        <v>-77</v>
      </c>
    </row>
    <row r="707" spans="2:10">
      <c r="B707" s="4">
        <v>5489</v>
      </c>
      <c r="C707" s="4" t="s">
        <v>713</v>
      </c>
      <c r="D707" s="5">
        <v>0.1825</v>
      </c>
      <c r="E707" s="4">
        <v>2.2999999999999998</v>
      </c>
      <c r="F707" s="4">
        <v>0</v>
      </c>
      <c r="G707" s="6">
        <v>2300</v>
      </c>
      <c r="H707" s="4">
        <v>305</v>
      </c>
      <c r="I707" s="4">
        <v>144</v>
      </c>
      <c r="J707" s="4">
        <v>-40</v>
      </c>
    </row>
    <row r="708" spans="2:10">
      <c r="B708" s="4">
        <v>5490</v>
      </c>
      <c r="C708" s="4" t="s">
        <v>714</v>
      </c>
      <c r="D708" s="5">
        <v>0.1484</v>
      </c>
      <c r="E708" s="4">
        <v>3.3149999999999999</v>
      </c>
      <c r="F708" s="4">
        <v>0</v>
      </c>
      <c r="G708" s="6">
        <v>3315</v>
      </c>
      <c r="H708" s="4">
        <v>326</v>
      </c>
      <c r="I708" s="4">
        <v>94</v>
      </c>
      <c r="J708" s="4">
        <v>-171</v>
      </c>
    </row>
    <row r="709" spans="2:10">
      <c r="B709" s="4">
        <v>5491</v>
      </c>
      <c r="C709" s="4" t="s">
        <v>715</v>
      </c>
      <c r="D709" s="5">
        <v>0.19570000000000001</v>
      </c>
      <c r="E709" s="4">
        <v>0.14979999999999999</v>
      </c>
      <c r="F709" s="4">
        <v>9.9919999999999995E-2</v>
      </c>
      <c r="G709" s="4">
        <v>250</v>
      </c>
      <c r="H709" s="4">
        <v>36</v>
      </c>
      <c r="I709" s="4">
        <v>19</v>
      </c>
      <c r="J709" s="4">
        <v>-1</v>
      </c>
    </row>
    <row r="710" spans="2:10">
      <c r="B710" s="4">
        <v>5493</v>
      </c>
      <c r="C710" s="4" t="s">
        <v>716</v>
      </c>
      <c r="D710" s="5">
        <v>6.25E-2</v>
      </c>
      <c r="E710" s="4">
        <v>3</v>
      </c>
      <c r="F710" s="4">
        <v>0</v>
      </c>
      <c r="G710" s="6">
        <v>3000</v>
      </c>
      <c r="H710" s="4">
        <v>38</v>
      </c>
      <c r="I710" s="4">
        <v>-173</v>
      </c>
      <c r="J710" s="4">
        <v>-413</v>
      </c>
    </row>
    <row r="711" spans="2:10">
      <c r="B711" s="4">
        <v>5505</v>
      </c>
      <c r="C711" s="4" t="s">
        <v>717</v>
      </c>
      <c r="D711" s="5">
        <v>0.1472</v>
      </c>
      <c r="E711" s="4">
        <v>4.0999999999999996</v>
      </c>
      <c r="F711" s="4">
        <v>1</v>
      </c>
      <c r="G711" s="6">
        <v>5100</v>
      </c>
      <c r="H711" s="4">
        <v>496</v>
      </c>
      <c r="I711" s="4">
        <v>139</v>
      </c>
      <c r="J711" s="4">
        <v>-269</v>
      </c>
    </row>
    <row r="712" spans="2:10">
      <c r="B712" s="4">
        <v>5508</v>
      </c>
      <c r="C712" s="4" t="s">
        <v>718</v>
      </c>
      <c r="D712" s="5">
        <v>0</v>
      </c>
      <c r="E712" s="4">
        <v>2.5</v>
      </c>
      <c r="F712" s="4">
        <v>0</v>
      </c>
      <c r="G712" s="6">
        <v>2500</v>
      </c>
      <c r="H712" s="4">
        <v>-125</v>
      </c>
      <c r="I712" s="4">
        <v>-300</v>
      </c>
      <c r="J712" s="4">
        <v>-500</v>
      </c>
    </row>
    <row r="713" spans="2:10">
      <c r="B713" s="4">
        <v>5511</v>
      </c>
      <c r="C713" s="4" t="s">
        <v>719</v>
      </c>
      <c r="D713" s="5">
        <v>0.1971</v>
      </c>
      <c r="E713" s="4">
        <v>0.4</v>
      </c>
      <c r="F713" s="4">
        <v>1.6</v>
      </c>
      <c r="G713" s="6">
        <v>2000</v>
      </c>
      <c r="H713" s="4">
        <v>294</v>
      </c>
      <c r="I713" s="4">
        <v>154</v>
      </c>
      <c r="J713" s="4">
        <v>-6</v>
      </c>
    </row>
    <row r="714" spans="2:10">
      <c r="B714" s="4">
        <v>5512</v>
      </c>
      <c r="C714" s="4" t="s">
        <v>720</v>
      </c>
      <c r="D714" s="5">
        <v>7.0400000000000004E-2</v>
      </c>
      <c r="E714" s="4">
        <v>0.5</v>
      </c>
      <c r="F714" s="4">
        <v>0.9</v>
      </c>
      <c r="G714" s="6">
        <v>1400</v>
      </c>
      <c r="H714" s="4">
        <v>29</v>
      </c>
      <c r="I714" s="4">
        <v>-69</v>
      </c>
      <c r="J714" s="4">
        <v>-181</v>
      </c>
    </row>
    <row r="715" spans="2:10">
      <c r="B715" s="4">
        <v>5514</v>
      </c>
      <c r="C715" s="4" t="s">
        <v>721</v>
      </c>
      <c r="D715" s="5">
        <v>3.56E-2</v>
      </c>
      <c r="E715" s="4">
        <v>0</v>
      </c>
      <c r="F715" s="4">
        <v>0.9</v>
      </c>
      <c r="G715" s="4">
        <v>900</v>
      </c>
      <c r="H715" s="4">
        <v>-13</v>
      </c>
      <c r="I715" s="4">
        <v>-76</v>
      </c>
      <c r="J715" s="4">
        <v>-148</v>
      </c>
    </row>
    <row r="716" spans="2:10">
      <c r="B716" s="4">
        <v>5515</v>
      </c>
      <c r="C716" s="4" t="s">
        <v>722</v>
      </c>
      <c r="D716" s="5">
        <v>5.16E-2</v>
      </c>
      <c r="E716" s="4">
        <v>0.5</v>
      </c>
      <c r="F716" s="4">
        <v>1</v>
      </c>
      <c r="G716" s="6">
        <v>1500</v>
      </c>
      <c r="H716" s="4">
        <v>2</v>
      </c>
      <c r="I716" s="4">
        <v>-103</v>
      </c>
      <c r="J716" s="4">
        <v>-223</v>
      </c>
    </row>
    <row r="717" spans="2:10">
      <c r="B717" s="4">
        <v>5516</v>
      </c>
      <c r="C717" s="4" t="s">
        <v>723</v>
      </c>
      <c r="D717" s="5">
        <v>0</v>
      </c>
      <c r="E717" s="4">
        <v>0.5</v>
      </c>
      <c r="F717" s="4">
        <v>0</v>
      </c>
      <c r="G717" s="4">
        <v>500</v>
      </c>
      <c r="H717" s="4">
        <v>-25</v>
      </c>
      <c r="I717" s="4">
        <v>-60</v>
      </c>
      <c r="J717" s="4">
        <v>-100</v>
      </c>
    </row>
    <row r="718" spans="2:10">
      <c r="B718" s="4">
        <v>5519</v>
      </c>
      <c r="C718" s="4" t="s">
        <v>724</v>
      </c>
      <c r="D718" s="5">
        <v>4.1099999999999998E-2</v>
      </c>
      <c r="E718" s="4">
        <v>1.0640000000000001</v>
      </c>
      <c r="F718" s="4">
        <v>2.6857099999999998</v>
      </c>
      <c r="G718" s="6">
        <v>3750</v>
      </c>
      <c r="H718" s="4">
        <v>-33</v>
      </c>
      <c r="I718" s="4">
        <v>-296</v>
      </c>
      <c r="J718" s="4">
        <v>-596</v>
      </c>
    </row>
    <row r="719" spans="2:10">
      <c r="B719" s="4">
        <v>5520</v>
      </c>
      <c r="C719" s="4" t="s">
        <v>725</v>
      </c>
      <c r="D719" s="5">
        <v>0.31130000000000002</v>
      </c>
      <c r="E719" s="4">
        <v>1.35</v>
      </c>
      <c r="F719" s="4">
        <v>0</v>
      </c>
      <c r="G719" s="6">
        <v>1350</v>
      </c>
      <c r="H719" s="4">
        <v>353</v>
      </c>
      <c r="I719" s="4">
        <v>258</v>
      </c>
      <c r="J719" s="4">
        <v>150</v>
      </c>
    </row>
    <row r="720" spans="2:10">
      <c r="B720" s="4">
        <v>5521</v>
      </c>
      <c r="C720" s="4" t="s">
        <v>726</v>
      </c>
      <c r="D720" s="5">
        <v>0.20480000000000001</v>
      </c>
      <c r="E720" s="4">
        <v>0.3</v>
      </c>
      <c r="F720" s="4">
        <v>0</v>
      </c>
      <c r="G720" s="4">
        <v>300</v>
      </c>
      <c r="H720" s="4">
        <v>46</v>
      </c>
      <c r="I720" s="4">
        <v>25</v>
      </c>
      <c r="J720" s="4">
        <v>1</v>
      </c>
    </row>
    <row r="721" spans="2:10">
      <c r="B721" s="4">
        <v>5522</v>
      </c>
      <c r="C721" s="4" t="s">
        <v>727</v>
      </c>
      <c r="D721" s="5">
        <v>0.13389999999999999</v>
      </c>
      <c r="E721" s="4">
        <v>6</v>
      </c>
      <c r="F721" s="4">
        <v>0</v>
      </c>
      <c r="G721" s="6">
        <v>6000</v>
      </c>
      <c r="H721" s="4">
        <v>503</v>
      </c>
      <c r="I721" s="4">
        <v>83</v>
      </c>
      <c r="J721" s="4">
        <v>-397</v>
      </c>
    </row>
    <row r="722" spans="2:10">
      <c r="B722" s="4">
        <v>5525</v>
      </c>
      <c r="C722" s="4" t="s">
        <v>728</v>
      </c>
      <c r="D722" s="5">
        <v>7.7899999999999997E-2</v>
      </c>
      <c r="E722" s="4">
        <v>0.6</v>
      </c>
      <c r="F722" s="4">
        <v>0.6</v>
      </c>
      <c r="G722" s="6">
        <v>1200</v>
      </c>
      <c r="H722" s="4">
        <v>33</v>
      </c>
      <c r="I722" s="4">
        <v>-51</v>
      </c>
      <c r="J722" s="4">
        <v>-147</v>
      </c>
    </row>
    <row r="723" spans="2:10">
      <c r="B723" s="4">
        <v>5529</v>
      </c>
      <c r="C723" s="4" t="s">
        <v>729</v>
      </c>
      <c r="D723" s="5">
        <v>0</v>
      </c>
      <c r="E723" s="4">
        <v>0</v>
      </c>
      <c r="F723" s="4">
        <v>1</v>
      </c>
      <c r="G723" s="6">
        <v>1000</v>
      </c>
      <c r="H723" s="4">
        <v>-50</v>
      </c>
      <c r="I723" s="4">
        <v>-120</v>
      </c>
      <c r="J723" s="4">
        <v>-200</v>
      </c>
    </row>
    <row r="724" spans="2:10">
      <c r="B724" s="4">
        <v>5530</v>
      </c>
      <c r="C724" s="4" t="s">
        <v>730</v>
      </c>
      <c r="D724" s="5">
        <v>8.3000000000000001E-3</v>
      </c>
      <c r="E724" s="4">
        <v>1.5</v>
      </c>
      <c r="F724" s="4">
        <v>0</v>
      </c>
      <c r="G724" s="6">
        <v>1500</v>
      </c>
      <c r="H724" s="4">
        <v>-63</v>
      </c>
      <c r="I724" s="4">
        <v>-168</v>
      </c>
      <c r="J724" s="4">
        <v>-288</v>
      </c>
    </row>
    <row r="725" spans="2:10">
      <c r="B725" s="4">
        <v>5531</v>
      </c>
      <c r="C725" s="4" t="s">
        <v>731</v>
      </c>
      <c r="D725" s="5">
        <v>2.9399999999999999E-2</v>
      </c>
      <c r="E725" s="4">
        <v>0</v>
      </c>
      <c r="F725" s="4">
        <v>1.5</v>
      </c>
      <c r="G725" s="6">
        <v>1500</v>
      </c>
      <c r="H725" s="4">
        <v>-31</v>
      </c>
      <c r="I725" s="4">
        <v>-136</v>
      </c>
      <c r="J725" s="4">
        <v>-256</v>
      </c>
    </row>
    <row r="726" spans="2:10">
      <c r="B726" s="4">
        <v>5533</v>
      </c>
      <c r="C726" s="4" t="s">
        <v>732</v>
      </c>
      <c r="D726" s="5">
        <v>7.9799999999999996E-2</v>
      </c>
      <c r="E726" s="4">
        <v>0.6</v>
      </c>
      <c r="F726" s="4">
        <v>0.9</v>
      </c>
      <c r="G726" s="6">
        <v>1500</v>
      </c>
      <c r="H726" s="4">
        <v>45</v>
      </c>
      <c r="I726" s="4">
        <v>-60</v>
      </c>
      <c r="J726" s="4">
        <v>-180</v>
      </c>
    </row>
    <row r="727" spans="2:10">
      <c r="B727" s="4">
        <v>5534</v>
      </c>
      <c r="C727" s="4" t="s">
        <v>733</v>
      </c>
      <c r="D727" s="5">
        <v>1.4999999999999999E-2</v>
      </c>
      <c r="E727" s="4">
        <v>6.2</v>
      </c>
      <c r="F727" s="4">
        <v>0.1</v>
      </c>
      <c r="G727" s="6">
        <v>6300</v>
      </c>
      <c r="H727" s="4">
        <v>-221</v>
      </c>
      <c r="I727" s="4">
        <v>-662</v>
      </c>
      <c r="J727" s="4">
        <v>-1166</v>
      </c>
    </row>
    <row r="728" spans="2:10">
      <c r="B728" s="4">
        <v>5536</v>
      </c>
      <c r="C728" s="4" t="s">
        <v>734</v>
      </c>
      <c r="D728" s="5">
        <v>0.15129999999999999</v>
      </c>
      <c r="E728" s="4">
        <v>10</v>
      </c>
      <c r="F728" s="4">
        <v>0</v>
      </c>
      <c r="G728" s="6">
        <v>10000</v>
      </c>
      <c r="H728" s="4">
        <v>1013</v>
      </c>
      <c r="I728" s="4">
        <v>313</v>
      </c>
      <c r="J728" s="4">
        <v>-487</v>
      </c>
    </row>
    <row r="729" spans="2:10">
      <c r="B729" s="4">
        <v>5601</v>
      </c>
      <c r="C729" s="4" t="s">
        <v>735</v>
      </c>
      <c r="D729" s="5">
        <v>0.30199999999999999</v>
      </c>
      <c r="E729" s="4">
        <v>0.23319999999999999</v>
      </c>
      <c r="F729" s="4">
        <v>0</v>
      </c>
      <c r="G729" s="4">
        <v>233</v>
      </c>
      <c r="H729" s="4">
        <v>59</v>
      </c>
      <c r="I729" s="4">
        <v>42</v>
      </c>
      <c r="J729" s="4">
        <v>24</v>
      </c>
    </row>
    <row r="730" spans="2:10">
      <c r="B730" s="4">
        <v>5604</v>
      </c>
      <c r="C730" s="4" t="s">
        <v>736</v>
      </c>
      <c r="D730" s="5">
        <v>0.2049</v>
      </c>
      <c r="E730" s="4">
        <v>1.96</v>
      </c>
      <c r="F730" s="4">
        <v>0</v>
      </c>
      <c r="G730" s="6">
        <v>1960</v>
      </c>
      <c r="H730" s="4">
        <v>304</v>
      </c>
      <c r="I730" s="4">
        <v>166</v>
      </c>
      <c r="J730" s="4">
        <v>10</v>
      </c>
    </row>
    <row r="731" spans="2:10">
      <c r="B731" s="4">
        <v>5608</v>
      </c>
      <c r="C731" s="4" t="s">
        <v>737</v>
      </c>
      <c r="D731" s="5">
        <v>0.18759999999999999</v>
      </c>
      <c r="E731" s="4">
        <v>3</v>
      </c>
      <c r="F731" s="4">
        <v>0</v>
      </c>
      <c r="G731" s="6">
        <v>3000</v>
      </c>
      <c r="H731" s="4">
        <v>413</v>
      </c>
      <c r="I731" s="4">
        <v>203</v>
      </c>
      <c r="J731" s="4">
        <v>-37</v>
      </c>
    </row>
    <row r="732" spans="2:10">
      <c r="B732" s="4">
        <v>5609</v>
      </c>
      <c r="C732" s="4" t="s">
        <v>738</v>
      </c>
      <c r="D732" s="5">
        <v>3.61E-2</v>
      </c>
      <c r="E732" s="4">
        <v>1.1667000000000001</v>
      </c>
      <c r="F732" s="4">
        <v>0.30530000000000002</v>
      </c>
      <c r="G732" s="6">
        <v>1472</v>
      </c>
      <c r="H732" s="4">
        <v>-20</v>
      </c>
      <c r="I732" s="4">
        <v>-124</v>
      </c>
      <c r="J732" s="4">
        <v>-241</v>
      </c>
    </row>
    <row r="733" spans="2:10">
      <c r="B733" s="4">
        <v>5703</v>
      </c>
      <c r="C733" s="4" t="s">
        <v>739</v>
      </c>
      <c r="D733" s="5">
        <v>0</v>
      </c>
      <c r="E733" s="4">
        <v>0.25</v>
      </c>
      <c r="F733" s="4">
        <v>0.25</v>
      </c>
      <c r="G733" s="4">
        <v>500</v>
      </c>
      <c r="H733" s="4">
        <v>-25</v>
      </c>
      <c r="I733" s="4">
        <v>-60</v>
      </c>
      <c r="J733" s="4">
        <v>-100</v>
      </c>
    </row>
    <row r="734" spans="2:10">
      <c r="B734" s="4">
        <v>5704</v>
      </c>
      <c r="C734" s="4" t="s">
        <v>740</v>
      </c>
      <c r="D734" s="5">
        <v>0.23669999999999999</v>
      </c>
      <c r="E734" s="4">
        <v>0.3</v>
      </c>
      <c r="F734" s="4">
        <v>0</v>
      </c>
      <c r="G734" s="4">
        <v>300</v>
      </c>
      <c r="H734" s="4">
        <v>56</v>
      </c>
      <c r="I734" s="4">
        <v>35</v>
      </c>
      <c r="J734" s="4">
        <v>11</v>
      </c>
    </row>
    <row r="735" spans="2:10">
      <c r="B735" s="4">
        <v>5706</v>
      </c>
      <c r="C735" s="4" t="s">
        <v>741</v>
      </c>
      <c r="D735" s="5">
        <v>0.10050000000000001</v>
      </c>
      <c r="E735" s="4">
        <v>0.5</v>
      </c>
      <c r="F735" s="4">
        <v>5.5</v>
      </c>
      <c r="G735" s="6">
        <v>6000</v>
      </c>
      <c r="H735" s="4">
        <v>303</v>
      </c>
      <c r="I735" s="4">
        <v>-117</v>
      </c>
      <c r="J735" s="4">
        <v>-597</v>
      </c>
    </row>
    <row r="736" spans="2:10">
      <c r="B736" s="4">
        <v>5820</v>
      </c>
      <c r="C736" s="4" t="s">
        <v>742</v>
      </c>
      <c r="D736" s="5">
        <v>0.20480000000000001</v>
      </c>
      <c r="E736" s="4">
        <v>9.1300000000000006E-2</v>
      </c>
      <c r="F736" s="4">
        <v>0.82169999999999999</v>
      </c>
      <c r="G736" s="4">
        <v>913</v>
      </c>
      <c r="H736" s="4">
        <v>141</v>
      </c>
      <c r="I736" s="4">
        <v>77</v>
      </c>
      <c r="J736" s="4">
        <v>4</v>
      </c>
    </row>
    <row r="737" spans="2:10">
      <c r="B737" s="4">
        <v>5854</v>
      </c>
      <c r="C737" s="4" t="s">
        <v>743</v>
      </c>
      <c r="D737" s="5">
        <v>0.16070000000000001</v>
      </c>
      <c r="E737" s="4">
        <v>0.6</v>
      </c>
      <c r="F737" s="4">
        <v>0.6</v>
      </c>
      <c r="G737" s="6">
        <v>1200</v>
      </c>
      <c r="H737" s="4">
        <v>133</v>
      </c>
      <c r="I737" s="4">
        <v>49</v>
      </c>
      <c r="J737" s="4">
        <v>-47</v>
      </c>
    </row>
    <row r="738" spans="2:10">
      <c r="B738" s="4">
        <v>5903</v>
      </c>
      <c r="C738" s="4" t="s">
        <v>744</v>
      </c>
      <c r="D738" s="5">
        <v>0.25440000000000002</v>
      </c>
      <c r="E738" s="4">
        <v>3.4</v>
      </c>
      <c r="F738" s="4">
        <v>0</v>
      </c>
      <c r="G738" s="6">
        <v>3400</v>
      </c>
      <c r="H738" s="4">
        <v>695</v>
      </c>
      <c r="I738" s="4">
        <v>457</v>
      </c>
      <c r="J738" s="4">
        <v>185</v>
      </c>
    </row>
    <row r="739" spans="2:10">
      <c r="B739" s="4">
        <v>5904</v>
      </c>
      <c r="C739" s="4" t="s">
        <v>745</v>
      </c>
      <c r="D739" s="5">
        <v>8.72E-2</v>
      </c>
      <c r="E739" s="4">
        <v>2.8</v>
      </c>
      <c r="F739" s="4">
        <v>0.1</v>
      </c>
      <c r="G739" s="6">
        <v>2900</v>
      </c>
      <c r="H739" s="4">
        <v>108</v>
      </c>
      <c r="I739" s="4">
        <v>-95</v>
      </c>
      <c r="J739" s="4">
        <v>-327</v>
      </c>
    </row>
    <row r="740" spans="2:10">
      <c r="B740" s="4">
        <v>6005</v>
      </c>
      <c r="C740" s="4" t="s">
        <v>746</v>
      </c>
      <c r="D740" s="5">
        <v>0.18709999999999999</v>
      </c>
      <c r="E740" s="4">
        <v>0.3</v>
      </c>
      <c r="F740" s="4">
        <v>0.15</v>
      </c>
      <c r="G740" s="4">
        <v>450</v>
      </c>
      <c r="H740" s="4">
        <v>62</v>
      </c>
      <c r="I740" s="4">
        <v>30</v>
      </c>
      <c r="J740" s="4">
        <v>-6</v>
      </c>
    </row>
    <row r="741" spans="2:10">
      <c r="B741" s="4">
        <v>6008</v>
      </c>
      <c r="C741" s="4" t="s">
        <v>747</v>
      </c>
      <c r="D741" s="5">
        <v>0.21809999999999999</v>
      </c>
      <c r="E741" s="4">
        <v>0.45</v>
      </c>
      <c r="F741" s="4">
        <v>0.2</v>
      </c>
      <c r="G741" s="4">
        <v>650</v>
      </c>
      <c r="H741" s="4">
        <v>109</v>
      </c>
      <c r="I741" s="4">
        <v>64</v>
      </c>
      <c r="J741" s="4">
        <v>12</v>
      </c>
    </row>
    <row r="742" spans="2:10">
      <c r="B742" s="4">
        <v>6016</v>
      </c>
      <c r="C742" s="4" t="s">
        <v>748</v>
      </c>
      <c r="D742" s="5">
        <v>0.2077</v>
      </c>
      <c r="E742" s="4">
        <v>0</v>
      </c>
      <c r="F742" s="4">
        <v>0.15</v>
      </c>
      <c r="G742" s="4">
        <v>150</v>
      </c>
      <c r="H742" s="4">
        <v>24</v>
      </c>
      <c r="I742" s="4">
        <v>13</v>
      </c>
      <c r="J742" s="4">
        <v>1</v>
      </c>
    </row>
    <row r="743" spans="2:10">
      <c r="B743" s="4">
        <v>6020</v>
      </c>
      <c r="C743" s="4" t="s">
        <v>749</v>
      </c>
      <c r="D743" s="5">
        <v>2.3099999999999999E-2</v>
      </c>
      <c r="E743" s="4">
        <v>0.63870000000000005</v>
      </c>
      <c r="F743" s="4">
        <v>0</v>
      </c>
      <c r="G743" s="4">
        <v>639</v>
      </c>
      <c r="H743" s="4">
        <v>-17</v>
      </c>
      <c r="I743" s="4">
        <v>-62</v>
      </c>
      <c r="J743" s="4">
        <v>-113</v>
      </c>
    </row>
    <row r="744" spans="2:10">
      <c r="B744" s="4">
        <v>6021</v>
      </c>
      <c r="C744" s="4" t="s">
        <v>750</v>
      </c>
      <c r="D744" s="5">
        <v>0.20530000000000001</v>
      </c>
      <c r="E744" s="4">
        <v>0.4</v>
      </c>
      <c r="F744" s="4">
        <v>1</v>
      </c>
      <c r="G744" s="6">
        <v>1400</v>
      </c>
      <c r="H744" s="4">
        <v>217</v>
      </c>
      <c r="I744" s="4">
        <v>119</v>
      </c>
      <c r="J744" s="4">
        <v>7</v>
      </c>
    </row>
    <row r="745" spans="2:10">
      <c r="B745" s="4">
        <v>6022</v>
      </c>
      <c r="C745" s="4" t="s">
        <v>751</v>
      </c>
      <c r="D745" s="5">
        <v>1.5699999999999999E-2</v>
      </c>
      <c r="E745" s="4">
        <v>0.34</v>
      </c>
      <c r="F745" s="4">
        <v>0</v>
      </c>
      <c r="G745" s="4">
        <v>340</v>
      </c>
      <c r="H745" s="4">
        <v>-12</v>
      </c>
      <c r="I745" s="4">
        <v>-35</v>
      </c>
      <c r="J745" s="4">
        <v>-63</v>
      </c>
    </row>
    <row r="746" spans="2:10">
      <c r="B746" s="4">
        <v>6023</v>
      </c>
      <c r="C746" s="4" t="s">
        <v>752</v>
      </c>
      <c r="D746" s="5">
        <v>0.2049</v>
      </c>
      <c r="E746" s="4">
        <v>1.58</v>
      </c>
      <c r="F746" s="4">
        <v>0</v>
      </c>
      <c r="G746" s="6">
        <v>1580</v>
      </c>
      <c r="H746" s="4">
        <v>245</v>
      </c>
      <c r="I746" s="4">
        <v>134</v>
      </c>
      <c r="J746" s="4">
        <v>8</v>
      </c>
    </row>
    <row r="747" spans="2:10">
      <c r="B747" s="4">
        <v>6024</v>
      </c>
      <c r="C747" s="4" t="s">
        <v>753</v>
      </c>
      <c r="D747" s="5">
        <v>0.23630000000000001</v>
      </c>
      <c r="E747" s="4">
        <v>0.1</v>
      </c>
      <c r="F747" s="4">
        <v>0.9</v>
      </c>
      <c r="G747" s="6">
        <v>1000</v>
      </c>
      <c r="H747" s="4">
        <v>186</v>
      </c>
      <c r="I747" s="4">
        <v>116</v>
      </c>
      <c r="J747" s="4">
        <v>36</v>
      </c>
    </row>
    <row r="748" spans="2:10">
      <c r="B748" s="4">
        <v>6105</v>
      </c>
      <c r="C748" s="4" t="s">
        <v>754</v>
      </c>
      <c r="D748" s="5">
        <v>0.15279999999999999</v>
      </c>
      <c r="E748" s="4">
        <v>1</v>
      </c>
      <c r="F748" s="4">
        <v>0</v>
      </c>
      <c r="G748" s="6">
        <v>1000</v>
      </c>
      <c r="H748" s="4">
        <v>103</v>
      </c>
      <c r="I748" s="4">
        <v>33</v>
      </c>
      <c r="J748" s="4">
        <v>-47</v>
      </c>
    </row>
    <row r="749" spans="2:10">
      <c r="B749" s="4">
        <v>6108</v>
      </c>
      <c r="C749" s="4" t="s">
        <v>755</v>
      </c>
      <c r="D749" s="5">
        <v>0.1159</v>
      </c>
      <c r="E749" s="4">
        <v>2</v>
      </c>
      <c r="F749" s="4">
        <v>0</v>
      </c>
      <c r="G749" s="6">
        <v>2000</v>
      </c>
      <c r="H749" s="4">
        <v>132</v>
      </c>
      <c r="I749" s="4">
        <v>-8</v>
      </c>
      <c r="J749" s="4">
        <v>-168</v>
      </c>
    </row>
    <row r="750" spans="2:10">
      <c r="B750" s="4">
        <v>6112</v>
      </c>
      <c r="C750" s="4" t="s">
        <v>756</v>
      </c>
      <c r="D750" s="5">
        <v>0.2324</v>
      </c>
      <c r="E750" s="4">
        <v>1.5</v>
      </c>
      <c r="F750" s="4">
        <v>1</v>
      </c>
      <c r="G750" s="6">
        <v>2500</v>
      </c>
      <c r="H750" s="4">
        <v>456</v>
      </c>
      <c r="I750" s="4">
        <v>281</v>
      </c>
      <c r="J750" s="4">
        <v>81</v>
      </c>
    </row>
    <row r="751" spans="2:10">
      <c r="B751" s="4">
        <v>6115</v>
      </c>
      <c r="C751" s="4" t="s">
        <v>757</v>
      </c>
      <c r="D751" s="5">
        <v>0.14280000000000001</v>
      </c>
      <c r="E751" s="4">
        <v>3.5</v>
      </c>
      <c r="F751" s="4">
        <v>0</v>
      </c>
      <c r="G751" s="6">
        <v>3500</v>
      </c>
      <c r="H751" s="4">
        <v>325</v>
      </c>
      <c r="I751" s="4">
        <v>80</v>
      </c>
      <c r="J751" s="4">
        <v>-200</v>
      </c>
    </row>
    <row r="752" spans="2:10">
      <c r="B752" s="4">
        <v>6117</v>
      </c>
      <c r="C752" s="4" t="s">
        <v>758</v>
      </c>
      <c r="D752" s="5">
        <v>0.2495</v>
      </c>
      <c r="E752" s="4">
        <v>0.3</v>
      </c>
      <c r="F752" s="4">
        <v>0</v>
      </c>
      <c r="G752" s="4">
        <v>300</v>
      </c>
      <c r="H752" s="4">
        <v>60</v>
      </c>
      <c r="I752" s="4">
        <v>39</v>
      </c>
      <c r="J752" s="4">
        <v>15</v>
      </c>
    </row>
    <row r="753" spans="2:10">
      <c r="B753" s="4">
        <v>6118</v>
      </c>
      <c r="C753" s="4" t="s">
        <v>759</v>
      </c>
      <c r="D753" s="5">
        <v>0.23569999999999999</v>
      </c>
      <c r="E753" s="4">
        <v>0.25</v>
      </c>
      <c r="F753" s="4">
        <v>0</v>
      </c>
      <c r="G753" s="4">
        <v>250</v>
      </c>
      <c r="H753" s="4">
        <v>46</v>
      </c>
      <c r="I753" s="4">
        <v>29</v>
      </c>
      <c r="J753" s="4">
        <v>9</v>
      </c>
    </row>
    <row r="754" spans="2:10">
      <c r="B754" s="4">
        <v>6119</v>
      </c>
      <c r="C754" s="4" t="s">
        <v>760</v>
      </c>
      <c r="D754" s="5">
        <v>0</v>
      </c>
      <c r="E754" s="4">
        <v>0</v>
      </c>
      <c r="F754" s="4">
        <v>0.5</v>
      </c>
      <c r="G754" s="4">
        <v>500</v>
      </c>
      <c r="H754" s="4">
        <v>-25</v>
      </c>
      <c r="I754" s="4">
        <v>-60</v>
      </c>
      <c r="J754" s="4">
        <v>-100</v>
      </c>
    </row>
    <row r="755" spans="2:10">
      <c r="B755" s="4">
        <v>6120</v>
      </c>
      <c r="C755" s="4" t="s">
        <v>761</v>
      </c>
      <c r="D755" s="5">
        <v>2.75E-2</v>
      </c>
      <c r="E755" s="4">
        <v>1.5</v>
      </c>
      <c r="F755" s="4">
        <v>0</v>
      </c>
      <c r="G755" s="6">
        <v>1500</v>
      </c>
      <c r="H755" s="4">
        <v>-34</v>
      </c>
      <c r="I755" s="4">
        <v>-139</v>
      </c>
      <c r="J755" s="4">
        <v>-259</v>
      </c>
    </row>
    <row r="756" spans="2:10">
      <c r="B756" s="4">
        <v>6121</v>
      </c>
      <c r="C756" s="4" t="s">
        <v>762</v>
      </c>
      <c r="D756" s="5">
        <v>0.24479999999999999</v>
      </c>
      <c r="E756" s="4">
        <v>5.5</v>
      </c>
      <c r="F756" s="4">
        <v>1</v>
      </c>
      <c r="G756" s="6">
        <v>6500</v>
      </c>
      <c r="H756" s="4">
        <v>1266</v>
      </c>
      <c r="I756" s="4">
        <v>811</v>
      </c>
      <c r="J756" s="4">
        <v>291</v>
      </c>
    </row>
    <row r="757" spans="2:10">
      <c r="B757" s="4">
        <v>6122</v>
      </c>
      <c r="C757" s="4" t="s">
        <v>763</v>
      </c>
      <c r="D757" s="5">
        <v>0.3634</v>
      </c>
      <c r="E757" s="4">
        <v>1</v>
      </c>
      <c r="F757" s="4">
        <v>0.6</v>
      </c>
      <c r="G757" s="6">
        <v>1600</v>
      </c>
      <c r="H757" s="4">
        <v>501</v>
      </c>
      <c r="I757" s="4">
        <v>389</v>
      </c>
      <c r="J757" s="4">
        <v>261</v>
      </c>
    </row>
    <row r="758" spans="2:10">
      <c r="B758" s="4">
        <v>6123</v>
      </c>
      <c r="C758" s="4" t="s">
        <v>764</v>
      </c>
      <c r="D758" s="5">
        <v>2.1600000000000001E-2</v>
      </c>
      <c r="E758" s="4">
        <v>2.8</v>
      </c>
      <c r="F758" s="4">
        <v>0</v>
      </c>
      <c r="G758" s="6">
        <v>2800</v>
      </c>
      <c r="H758" s="4">
        <v>-80</v>
      </c>
      <c r="I758" s="4">
        <v>-276</v>
      </c>
      <c r="J758" s="4">
        <v>-500</v>
      </c>
    </row>
    <row r="759" spans="2:10">
      <c r="B759" s="4">
        <v>6125</v>
      </c>
      <c r="C759" s="4" t="s">
        <v>765</v>
      </c>
      <c r="D759" s="5">
        <v>0.2341</v>
      </c>
      <c r="E759" s="4">
        <v>1</v>
      </c>
      <c r="F759" s="4">
        <v>0.5</v>
      </c>
      <c r="G759" s="6">
        <v>1500</v>
      </c>
      <c r="H759" s="4">
        <v>276</v>
      </c>
      <c r="I759" s="4">
        <v>171</v>
      </c>
      <c r="J759" s="4">
        <v>51</v>
      </c>
    </row>
    <row r="760" spans="2:10">
      <c r="B760" s="4">
        <v>6126</v>
      </c>
      <c r="C760" s="4" t="s">
        <v>766</v>
      </c>
      <c r="D760" s="5">
        <v>5.67E-2</v>
      </c>
      <c r="E760" s="4">
        <v>1.5</v>
      </c>
      <c r="F760" s="4">
        <v>1</v>
      </c>
      <c r="G760" s="6">
        <v>2500</v>
      </c>
      <c r="H760" s="4">
        <v>17</v>
      </c>
      <c r="I760" s="4">
        <v>-158</v>
      </c>
      <c r="J760" s="4">
        <v>-358</v>
      </c>
    </row>
    <row r="761" spans="2:10">
      <c r="B761" s="4">
        <v>6127</v>
      </c>
      <c r="C761" s="4" t="s">
        <v>767</v>
      </c>
      <c r="D761" s="5">
        <v>2.1899999999999999E-2</v>
      </c>
      <c r="E761" s="4">
        <v>0.5</v>
      </c>
      <c r="F761" s="4">
        <v>0</v>
      </c>
      <c r="G761" s="4">
        <v>500</v>
      </c>
      <c r="H761" s="4">
        <v>-14</v>
      </c>
      <c r="I761" s="4">
        <v>-49</v>
      </c>
      <c r="J761" s="4">
        <v>-89</v>
      </c>
    </row>
    <row r="762" spans="2:10">
      <c r="B762" s="4">
        <v>6128</v>
      </c>
      <c r="C762" s="4" t="s">
        <v>768</v>
      </c>
      <c r="D762" s="5">
        <v>0.1865</v>
      </c>
      <c r="E762" s="4">
        <v>2.75</v>
      </c>
      <c r="F762" s="4">
        <v>0.35</v>
      </c>
      <c r="G762" s="6">
        <v>3100</v>
      </c>
      <c r="H762" s="4">
        <v>423</v>
      </c>
      <c r="I762" s="4">
        <v>206</v>
      </c>
      <c r="J762" s="4">
        <v>-42</v>
      </c>
    </row>
    <row r="763" spans="2:10">
      <c r="B763" s="4">
        <v>6129</v>
      </c>
      <c r="C763" s="4" t="s">
        <v>769</v>
      </c>
      <c r="D763" s="5">
        <v>0.36480000000000001</v>
      </c>
      <c r="E763" s="4">
        <v>1</v>
      </c>
      <c r="F763" s="4">
        <v>0</v>
      </c>
      <c r="G763" s="6">
        <v>1000</v>
      </c>
      <c r="H763" s="4">
        <v>315</v>
      </c>
      <c r="I763" s="4">
        <v>245</v>
      </c>
      <c r="J763" s="4">
        <v>165</v>
      </c>
    </row>
    <row r="764" spans="2:10">
      <c r="B764" s="4">
        <v>6131</v>
      </c>
      <c r="C764" s="4" t="s">
        <v>770</v>
      </c>
      <c r="D764" s="5">
        <v>0.20810000000000001</v>
      </c>
      <c r="E764" s="4">
        <v>0.4</v>
      </c>
      <c r="F764" s="4">
        <v>0</v>
      </c>
      <c r="G764" s="4">
        <v>400</v>
      </c>
      <c r="H764" s="4">
        <v>63</v>
      </c>
      <c r="I764" s="4">
        <v>35</v>
      </c>
      <c r="J764" s="4">
        <v>3</v>
      </c>
    </row>
    <row r="765" spans="2:10">
      <c r="B765" s="4">
        <v>6134</v>
      </c>
      <c r="C765" s="4" t="s">
        <v>771</v>
      </c>
      <c r="D765" s="5">
        <v>0.15970000000000001</v>
      </c>
      <c r="E765" s="4">
        <v>0.5</v>
      </c>
      <c r="F765" s="4">
        <v>0</v>
      </c>
      <c r="G765" s="4">
        <v>500</v>
      </c>
      <c r="H765" s="4">
        <v>55</v>
      </c>
      <c r="I765" s="4">
        <v>20</v>
      </c>
      <c r="J765" s="4">
        <v>-20</v>
      </c>
    </row>
    <row r="766" spans="2:10">
      <c r="B766" s="4">
        <v>6136</v>
      </c>
      <c r="C766" s="4" t="s">
        <v>772</v>
      </c>
      <c r="D766" s="5">
        <v>0.1623</v>
      </c>
      <c r="E766" s="4">
        <v>3.4</v>
      </c>
      <c r="F766" s="4">
        <v>1</v>
      </c>
      <c r="G766" s="6">
        <v>4400</v>
      </c>
      <c r="H766" s="4">
        <v>494</v>
      </c>
      <c r="I766" s="4">
        <v>186</v>
      </c>
      <c r="J766" s="4">
        <v>-166</v>
      </c>
    </row>
    <row r="767" spans="2:10">
      <c r="B767" s="4">
        <v>6138</v>
      </c>
      <c r="C767" s="4" t="s">
        <v>773</v>
      </c>
      <c r="D767" s="5">
        <v>7.4700000000000003E-2</v>
      </c>
      <c r="E767" s="4">
        <v>1.5</v>
      </c>
      <c r="F767" s="4">
        <v>0</v>
      </c>
      <c r="G767" s="6">
        <v>1500</v>
      </c>
      <c r="H767" s="4">
        <v>37</v>
      </c>
      <c r="I767" s="4">
        <v>-68</v>
      </c>
      <c r="J767" s="4">
        <v>-188</v>
      </c>
    </row>
    <row r="768" spans="2:10">
      <c r="B768" s="4">
        <v>6139</v>
      </c>
      <c r="C768" s="4" t="s">
        <v>774</v>
      </c>
      <c r="D768" s="5">
        <v>0.24099999999999999</v>
      </c>
      <c r="E768" s="4">
        <v>3</v>
      </c>
      <c r="F768" s="4">
        <v>0</v>
      </c>
      <c r="G768" s="6">
        <v>3000</v>
      </c>
      <c r="H768" s="4">
        <v>573</v>
      </c>
      <c r="I768" s="4">
        <v>363</v>
      </c>
      <c r="J768" s="4">
        <v>123</v>
      </c>
    </row>
    <row r="769" spans="2:10">
      <c r="B769" s="4">
        <v>6140</v>
      </c>
      <c r="C769" s="4" t="s">
        <v>775</v>
      </c>
      <c r="D769" s="5">
        <v>0.30680000000000002</v>
      </c>
      <c r="E769" s="4">
        <v>0.1</v>
      </c>
      <c r="F769" s="4">
        <v>0.4</v>
      </c>
      <c r="G769" s="4">
        <v>500</v>
      </c>
      <c r="H769" s="4">
        <v>128</v>
      </c>
      <c r="I769" s="4">
        <v>93</v>
      </c>
      <c r="J769" s="4">
        <v>53</v>
      </c>
    </row>
    <row r="770" spans="2:10">
      <c r="B770" s="4">
        <v>6141</v>
      </c>
      <c r="C770" s="4" t="s">
        <v>776</v>
      </c>
      <c r="D770" s="5">
        <v>6.6500000000000004E-2</v>
      </c>
      <c r="E770" s="4">
        <v>1</v>
      </c>
      <c r="F770" s="4">
        <v>0</v>
      </c>
      <c r="G770" s="6">
        <v>1000</v>
      </c>
      <c r="H770" s="4">
        <v>17</v>
      </c>
      <c r="I770" s="4">
        <v>-54</v>
      </c>
      <c r="J770" s="4">
        <v>-134</v>
      </c>
    </row>
    <row r="771" spans="2:10">
      <c r="B771" s="4">
        <v>6142</v>
      </c>
      <c r="C771" s="4" t="s">
        <v>777</v>
      </c>
      <c r="D771" s="5">
        <v>8.1500000000000003E-2</v>
      </c>
      <c r="E771" s="4">
        <v>0.1</v>
      </c>
      <c r="F771" s="4">
        <v>0.6</v>
      </c>
      <c r="G771" s="4">
        <v>700</v>
      </c>
      <c r="H771" s="4">
        <v>22</v>
      </c>
      <c r="I771" s="4">
        <v>-27</v>
      </c>
      <c r="J771" s="4">
        <v>-83</v>
      </c>
    </row>
    <row r="772" spans="2:10">
      <c r="B772" s="4">
        <v>6143</v>
      </c>
      <c r="C772" s="4" t="s">
        <v>778</v>
      </c>
      <c r="D772" s="5">
        <v>0.2389</v>
      </c>
      <c r="E772" s="4">
        <v>0.5</v>
      </c>
      <c r="F772" s="4">
        <v>1.5</v>
      </c>
      <c r="G772" s="6">
        <v>2000</v>
      </c>
      <c r="H772" s="4">
        <v>378</v>
      </c>
      <c r="I772" s="4">
        <v>238</v>
      </c>
      <c r="J772" s="4">
        <v>78</v>
      </c>
    </row>
    <row r="773" spans="2:10">
      <c r="B773" s="4">
        <v>6146</v>
      </c>
      <c r="C773" s="4" t="s">
        <v>779</v>
      </c>
      <c r="D773" s="5">
        <v>0.1643</v>
      </c>
      <c r="E773" s="4">
        <v>4.95</v>
      </c>
      <c r="F773" s="4">
        <v>0.05</v>
      </c>
      <c r="G773" s="6">
        <v>5000</v>
      </c>
      <c r="H773" s="4">
        <v>572</v>
      </c>
      <c r="I773" s="4">
        <v>222</v>
      </c>
      <c r="J773" s="4">
        <v>-179</v>
      </c>
    </row>
    <row r="774" spans="2:10">
      <c r="B774" s="4">
        <v>6147</v>
      </c>
      <c r="C774" s="4" t="s">
        <v>780</v>
      </c>
      <c r="D774" s="5">
        <v>6.9400000000000003E-2</v>
      </c>
      <c r="E774" s="4">
        <v>2</v>
      </c>
      <c r="F774" s="4">
        <v>0</v>
      </c>
      <c r="G774" s="6">
        <v>2000</v>
      </c>
      <c r="H774" s="4">
        <v>39</v>
      </c>
      <c r="I774" s="4">
        <v>-101</v>
      </c>
      <c r="J774" s="4">
        <v>-261</v>
      </c>
    </row>
    <row r="775" spans="2:10">
      <c r="B775" s="4">
        <v>6150</v>
      </c>
      <c r="C775" s="4" t="s">
        <v>781</v>
      </c>
      <c r="D775" s="5">
        <v>3.4500000000000003E-2</v>
      </c>
      <c r="E775" s="4">
        <v>2</v>
      </c>
      <c r="F775" s="4">
        <v>0.7</v>
      </c>
      <c r="G775" s="6">
        <v>2700</v>
      </c>
      <c r="H775" s="4">
        <v>-42</v>
      </c>
      <c r="I775" s="4">
        <v>-231</v>
      </c>
      <c r="J775" s="4">
        <v>-447</v>
      </c>
    </row>
    <row r="776" spans="2:10">
      <c r="B776" s="4">
        <v>6151</v>
      </c>
      <c r="C776" s="4" t="s">
        <v>782</v>
      </c>
      <c r="D776" s="5">
        <v>0.17050000000000001</v>
      </c>
      <c r="E776" s="4">
        <v>2</v>
      </c>
      <c r="F776" s="4">
        <v>0</v>
      </c>
      <c r="G776" s="6">
        <v>2000</v>
      </c>
      <c r="H776" s="4">
        <v>241</v>
      </c>
      <c r="I776" s="4">
        <v>101</v>
      </c>
      <c r="J776" s="4">
        <v>-59</v>
      </c>
    </row>
    <row r="777" spans="2:10">
      <c r="B777" s="4">
        <v>6152</v>
      </c>
      <c r="C777" s="4" t="s">
        <v>783</v>
      </c>
      <c r="D777" s="5">
        <v>0.1628</v>
      </c>
      <c r="E777" s="4">
        <v>1.81</v>
      </c>
      <c r="F777" s="4">
        <v>0</v>
      </c>
      <c r="G777" s="6">
        <v>1810</v>
      </c>
      <c r="H777" s="4">
        <v>204</v>
      </c>
      <c r="I777" s="4">
        <v>77</v>
      </c>
      <c r="J777" s="4">
        <v>-67</v>
      </c>
    </row>
    <row r="778" spans="2:10">
      <c r="B778" s="4">
        <v>6153</v>
      </c>
      <c r="C778" s="4" t="s">
        <v>784</v>
      </c>
      <c r="D778" s="5">
        <v>6.2700000000000006E-2</v>
      </c>
      <c r="E778" s="4">
        <v>2</v>
      </c>
      <c r="F778" s="4">
        <v>0</v>
      </c>
      <c r="G778" s="6">
        <v>2000</v>
      </c>
      <c r="H778" s="4">
        <v>25</v>
      </c>
      <c r="I778" s="4">
        <v>-115</v>
      </c>
      <c r="J778" s="4">
        <v>-275</v>
      </c>
    </row>
    <row r="779" spans="2:10">
      <c r="B779" s="4">
        <v>6154</v>
      </c>
      <c r="C779" s="4" t="s">
        <v>785</v>
      </c>
      <c r="D779" s="5">
        <v>0.25779999999999997</v>
      </c>
      <c r="E779" s="4">
        <v>2</v>
      </c>
      <c r="F779" s="4">
        <v>0</v>
      </c>
      <c r="G779" s="6">
        <v>2000</v>
      </c>
      <c r="H779" s="4">
        <v>416</v>
      </c>
      <c r="I779" s="4">
        <v>276</v>
      </c>
      <c r="J779" s="4">
        <v>116</v>
      </c>
    </row>
    <row r="780" spans="2:10">
      <c r="B780" s="4">
        <v>6155</v>
      </c>
      <c r="C780" s="4" t="s">
        <v>786</v>
      </c>
      <c r="D780" s="5">
        <v>0.18509999999999999</v>
      </c>
      <c r="E780" s="4">
        <v>1.26</v>
      </c>
      <c r="F780" s="4">
        <v>0.1</v>
      </c>
      <c r="G780" s="6">
        <v>1360</v>
      </c>
      <c r="H780" s="4">
        <v>184</v>
      </c>
      <c r="I780" s="4">
        <v>89</v>
      </c>
      <c r="J780" s="4">
        <v>-20</v>
      </c>
    </row>
    <row r="781" spans="2:10">
      <c r="B781" s="4">
        <v>6158</v>
      </c>
      <c r="C781" s="4" t="s">
        <v>787</v>
      </c>
      <c r="D781" s="5">
        <v>0.1066</v>
      </c>
      <c r="E781" s="4">
        <v>2.4</v>
      </c>
      <c r="F781" s="4">
        <v>0</v>
      </c>
      <c r="G781" s="6">
        <v>2400</v>
      </c>
      <c r="H781" s="4">
        <v>136</v>
      </c>
      <c r="I781" s="4">
        <v>-32</v>
      </c>
      <c r="J781" s="4">
        <v>-224</v>
      </c>
    </row>
    <row r="782" spans="2:10">
      <c r="B782" s="4">
        <v>6160</v>
      </c>
      <c r="C782" s="4" t="s">
        <v>788</v>
      </c>
      <c r="D782" s="5">
        <v>0.20480000000000001</v>
      </c>
      <c r="E782" s="4">
        <v>2.5</v>
      </c>
      <c r="F782" s="4">
        <v>0</v>
      </c>
      <c r="G782" s="6">
        <v>2500</v>
      </c>
      <c r="H782" s="4">
        <v>387</v>
      </c>
      <c r="I782" s="4">
        <v>212</v>
      </c>
      <c r="J782" s="4">
        <v>12</v>
      </c>
    </row>
    <row r="783" spans="2:10">
      <c r="B783" s="4">
        <v>6161</v>
      </c>
      <c r="C783" s="4" t="s">
        <v>789</v>
      </c>
      <c r="D783" s="5">
        <v>2.6100000000000002E-2</v>
      </c>
      <c r="E783" s="4">
        <v>0.3</v>
      </c>
      <c r="F783" s="4">
        <v>0</v>
      </c>
      <c r="G783" s="4">
        <v>300</v>
      </c>
      <c r="H783" s="4">
        <v>-7</v>
      </c>
      <c r="I783" s="4">
        <v>-28</v>
      </c>
      <c r="J783" s="4">
        <v>-52</v>
      </c>
    </row>
    <row r="784" spans="2:10">
      <c r="B784" s="4">
        <v>6164</v>
      </c>
      <c r="C784" s="4" t="s">
        <v>790</v>
      </c>
      <c r="D784" s="5">
        <v>5.8999999999999997E-2</v>
      </c>
      <c r="E784" s="4">
        <v>0.5</v>
      </c>
      <c r="F784" s="4">
        <v>0.4</v>
      </c>
      <c r="G784" s="4">
        <v>900</v>
      </c>
      <c r="H784" s="4">
        <v>8</v>
      </c>
      <c r="I784" s="4">
        <v>-55</v>
      </c>
      <c r="J784" s="4">
        <v>-127</v>
      </c>
    </row>
    <row r="785" spans="2:10">
      <c r="B785" s="4">
        <v>6166</v>
      </c>
      <c r="C785" s="4" t="s">
        <v>791</v>
      </c>
      <c r="D785" s="5">
        <v>0.1091</v>
      </c>
      <c r="E785" s="4">
        <v>2.5</v>
      </c>
      <c r="F785" s="4">
        <v>1.5</v>
      </c>
      <c r="G785" s="6">
        <v>4000</v>
      </c>
      <c r="H785" s="4">
        <v>236</v>
      </c>
      <c r="I785" s="4">
        <v>-44</v>
      </c>
      <c r="J785" s="4">
        <v>-364</v>
      </c>
    </row>
    <row r="786" spans="2:10">
      <c r="B786" s="4">
        <v>6168</v>
      </c>
      <c r="C786" s="4" t="s">
        <v>792</v>
      </c>
      <c r="D786" s="5">
        <v>0.24079999999999999</v>
      </c>
      <c r="E786" s="4">
        <v>0.8</v>
      </c>
      <c r="F786" s="4">
        <v>0.2</v>
      </c>
      <c r="G786" s="6">
        <v>1000</v>
      </c>
      <c r="H786" s="4">
        <v>191</v>
      </c>
      <c r="I786" s="4">
        <v>121</v>
      </c>
      <c r="J786" s="4">
        <v>41</v>
      </c>
    </row>
    <row r="787" spans="2:10">
      <c r="B787" s="4">
        <v>6170</v>
      </c>
      <c r="C787" s="4" t="s">
        <v>793</v>
      </c>
      <c r="D787" s="5">
        <v>0.20480000000000001</v>
      </c>
      <c r="E787" s="4">
        <v>0.1231</v>
      </c>
      <c r="F787" s="4">
        <v>0</v>
      </c>
      <c r="G787" s="4">
        <v>123</v>
      </c>
      <c r="H787" s="4">
        <v>19</v>
      </c>
      <c r="I787" s="4">
        <v>10</v>
      </c>
      <c r="J787" s="4">
        <v>1</v>
      </c>
    </row>
    <row r="788" spans="2:10">
      <c r="B788" s="4">
        <v>6173</v>
      </c>
      <c r="C788" s="4" t="s">
        <v>794</v>
      </c>
      <c r="D788" s="5">
        <v>0.1125</v>
      </c>
      <c r="E788" s="4">
        <v>0.3</v>
      </c>
      <c r="F788" s="4">
        <v>1.1000000000000001</v>
      </c>
      <c r="G788" s="6">
        <v>1400</v>
      </c>
      <c r="H788" s="4">
        <v>88</v>
      </c>
      <c r="I788" s="4">
        <v>-11</v>
      </c>
      <c r="J788" s="4">
        <v>-123</v>
      </c>
    </row>
    <row r="789" spans="2:10">
      <c r="B789" s="4">
        <v>6174</v>
      </c>
      <c r="C789" s="4" t="s">
        <v>795</v>
      </c>
      <c r="D789" s="5">
        <v>0.3387</v>
      </c>
      <c r="E789" s="4">
        <v>0.25</v>
      </c>
      <c r="F789" s="4">
        <v>0</v>
      </c>
      <c r="G789" s="4">
        <v>250</v>
      </c>
      <c r="H789" s="4">
        <v>72</v>
      </c>
      <c r="I789" s="4">
        <v>55</v>
      </c>
      <c r="J789" s="4">
        <v>35</v>
      </c>
    </row>
    <row r="790" spans="2:10">
      <c r="B790" s="4">
        <v>6175</v>
      </c>
      <c r="C790" s="4" t="s">
        <v>796</v>
      </c>
      <c r="D790" s="5">
        <v>0.20699999999999999</v>
      </c>
      <c r="E790" s="4">
        <v>0.6</v>
      </c>
      <c r="F790" s="4">
        <v>0</v>
      </c>
      <c r="G790" s="4">
        <v>600</v>
      </c>
      <c r="H790" s="4">
        <v>94</v>
      </c>
      <c r="I790" s="4">
        <v>52</v>
      </c>
      <c r="J790" s="4">
        <v>4</v>
      </c>
    </row>
    <row r="791" spans="2:10">
      <c r="B791" s="4">
        <v>6176</v>
      </c>
      <c r="C791" s="4" t="s">
        <v>797</v>
      </c>
      <c r="D791" s="5">
        <v>1.3599999999999999E-2</v>
      </c>
      <c r="E791" s="4">
        <v>3.8</v>
      </c>
      <c r="F791" s="4">
        <v>0.3</v>
      </c>
      <c r="G791" s="6">
        <v>4100</v>
      </c>
      <c r="H791" s="4">
        <v>-149</v>
      </c>
      <c r="I791" s="4">
        <v>-436</v>
      </c>
      <c r="J791" s="4">
        <v>-764</v>
      </c>
    </row>
    <row r="792" spans="2:10">
      <c r="B792" s="4">
        <v>6177</v>
      </c>
      <c r="C792" s="4" t="s">
        <v>798</v>
      </c>
      <c r="D792" s="5">
        <v>2.9999999999999997E-4</v>
      </c>
      <c r="E792" s="4">
        <v>0.51</v>
      </c>
      <c r="F792" s="4">
        <v>2.58</v>
      </c>
      <c r="G792" s="6">
        <v>3090</v>
      </c>
      <c r="H792" s="4">
        <v>-154</v>
      </c>
      <c r="I792" s="4">
        <v>-370</v>
      </c>
      <c r="J792" s="4">
        <v>-617</v>
      </c>
    </row>
    <row r="793" spans="2:10">
      <c r="B793" s="4">
        <v>6180</v>
      </c>
      <c r="C793" s="4" t="s">
        <v>799</v>
      </c>
      <c r="D793" s="5">
        <v>0.1027</v>
      </c>
      <c r="E793" s="4">
        <v>1.2</v>
      </c>
      <c r="F793" s="4">
        <v>0</v>
      </c>
      <c r="G793" s="6">
        <v>1200</v>
      </c>
      <c r="H793" s="4">
        <v>63</v>
      </c>
      <c r="I793" s="4">
        <v>-21</v>
      </c>
      <c r="J793" s="4">
        <v>-117</v>
      </c>
    </row>
    <row r="794" spans="2:10">
      <c r="B794" s="4">
        <v>6182</v>
      </c>
      <c r="C794" s="4" t="s">
        <v>800</v>
      </c>
      <c r="D794" s="5">
        <v>0.17369999999999999</v>
      </c>
      <c r="E794" s="4">
        <v>1</v>
      </c>
      <c r="F794" s="4">
        <v>0.3</v>
      </c>
      <c r="G794" s="6">
        <v>1300</v>
      </c>
      <c r="H794" s="4">
        <v>161</v>
      </c>
      <c r="I794" s="4">
        <v>70</v>
      </c>
      <c r="J794" s="4">
        <v>-34</v>
      </c>
    </row>
    <row r="795" spans="2:10">
      <c r="B795" s="4">
        <v>6183</v>
      </c>
      <c r="C795" s="4" t="s">
        <v>801</v>
      </c>
      <c r="D795" s="5">
        <v>0.1573</v>
      </c>
      <c r="E795" s="4">
        <v>1.01</v>
      </c>
      <c r="F795" s="4">
        <v>0</v>
      </c>
      <c r="G795" s="6">
        <v>1010</v>
      </c>
      <c r="H795" s="4">
        <v>108</v>
      </c>
      <c r="I795" s="4">
        <v>38</v>
      </c>
      <c r="J795" s="4">
        <v>-43</v>
      </c>
    </row>
    <row r="796" spans="2:10">
      <c r="B796" s="4">
        <v>6184</v>
      </c>
      <c r="C796" s="4" t="s">
        <v>802</v>
      </c>
      <c r="D796" s="5">
        <v>0.22270000000000001</v>
      </c>
      <c r="E796" s="4">
        <v>2.5</v>
      </c>
      <c r="F796" s="4">
        <v>1.3</v>
      </c>
      <c r="G796" s="6">
        <v>3800</v>
      </c>
      <c r="H796" s="4">
        <v>656</v>
      </c>
      <c r="I796" s="4">
        <v>390</v>
      </c>
      <c r="J796" s="4">
        <v>86</v>
      </c>
    </row>
    <row r="797" spans="2:10">
      <c r="B797" s="4">
        <v>6185</v>
      </c>
      <c r="C797" s="4" t="s">
        <v>803</v>
      </c>
      <c r="D797" s="5">
        <v>0.16250000000000001</v>
      </c>
      <c r="E797" s="4">
        <v>2</v>
      </c>
      <c r="F797" s="4">
        <v>0.7</v>
      </c>
      <c r="G797" s="6">
        <v>2700</v>
      </c>
      <c r="H797" s="4">
        <v>304</v>
      </c>
      <c r="I797" s="4">
        <v>115</v>
      </c>
      <c r="J797" s="4">
        <v>-101</v>
      </c>
    </row>
    <row r="798" spans="2:10">
      <c r="B798" s="4">
        <v>6188</v>
      </c>
      <c r="C798" s="4" t="s">
        <v>804</v>
      </c>
      <c r="D798" s="5">
        <v>0.1525</v>
      </c>
      <c r="E798" s="4">
        <v>2</v>
      </c>
      <c r="F798" s="4">
        <v>0</v>
      </c>
      <c r="G798" s="6">
        <v>2000</v>
      </c>
      <c r="H798" s="4">
        <v>205</v>
      </c>
      <c r="I798" s="4">
        <v>65</v>
      </c>
      <c r="J798" s="4">
        <v>-95</v>
      </c>
    </row>
    <row r="799" spans="2:10">
      <c r="B799" s="4">
        <v>6189</v>
      </c>
      <c r="C799" s="4" t="s">
        <v>805</v>
      </c>
      <c r="D799" s="5">
        <v>0.20630000000000001</v>
      </c>
      <c r="E799" s="4">
        <v>2</v>
      </c>
      <c r="F799" s="4">
        <v>0</v>
      </c>
      <c r="G799" s="6">
        <v>2000</v>
      </c>
      <c r="H799" s="4">
        <v>313</v>
      </c>
      <c r="I799" s="4">
        <v>173</v>
      </c>
      <c r="J799" s="4">
        <v>13</v>
      </c>
    </row>
    <row r="800" spans="2:10">
      <c r="B800" s="4">
        <v>6190</v>
      </c>
      <c r="C800" s="4" t="s">
        <v>806</v>
      </c>
      <c r="D800" s="5">
        <v>0.13270000000000001</v>
      </c>
      <c r="E800" s="4">
        <v>0.3</v>
      </c>
      <c r="F800" s="4">
        <v>0</v>
      </c>
      <c r="G800" s="4">
        <v>300</v>
      </c>
      <c r="H800" s="4">
        <v>25</v>
      </c>
      <c r="I800" s="4">
        <v>4</v>
      </c>
      <c r="J800" s="4">
        <v>-20</v>
      </c>
    </row>
    <row r="801" spans="2:10">
      <c r="B801" s="4">
        <v>6191</v>
      </c>
      <c r="C801" s="4" t="s">
        <v>807</v>
      </c>
      <c r="D801" s="5">
        <v>0.128</v>
      </c>
      <c r="E801" s="4">
        <v>0.23</v>
      </c>
      <c r="F801" s="4">
        <v>0.69</v>
      </c>
      <c r="G801" s="4">
        <v>920</v>
      </c>
      <c r="H801" s="4">
        <v>72</v>
      </c>
      <c r="I801" s="4">
        <v>7</v>
      </c>
      <c r="J801" s="4">
        <v>-66</v>
      </c>
    </row>
    <row r="802" spans="2:10">
      <c r="B802" s="4">
        <v>6192</v>
      </c>
      <c r="C802" s="4" t="s">
        <v>808</v>
      </c>
      <c r="D802" s="5">
        <v>0.2049</v>
      </c>
      <c r="E802" s="4">
        <v>3</v>
      </c>
      <c r="F802" s="4">
        <v>0.5</v>
      </c>
      <c r="G802" s="6">
        <v>3500</v>
      </c>
      <c r="H802" s="4">
        <v>542</v>
      </c>
      <c r="I802" s="4">
        <v>297</v>
      </c>
      <c r="J802" s="4">
        <v>17</v>
      </c>
    </row>
    <row r="803" spans="2:10">
      <c r="B803" s="4">
        <v>6194</v>
      </c>
      <c r="C803" s="4" t="s">
        <v>809</v>
      </c>
      <c r="D803" s="5">
        <v>0.13159999999999999</v>
      </c>
      <c r="E803" s="4">
        <v>2</v>
      </c>
      <c r="F803" s="4">
        <v>0</v>
      </c>
      <c r="G803" s="6">
        <v>2000</v>
      </c>
      <c r="H803" s="4">
        <v>163</v>
      </c>
      <c r="I803" s="4">
        <v>23</v>
      </c>
      <c r="J803" s="4">
        <v>-137</v>
      </c>
    </row>
    <row r="804" spans="2:10">
      <c r="B804" s="4">
        <v>6195</v>
      </c>
      <c r="C804" s="4" t="s">
        <v>810</v>
      </c>
      <c r="D804" s="5">
        <v>0.18390000000000001</v>
      </c>
      <c r="E804" s="4">
        <v>2</v>
      </c>
      <c r="F804" s="4">
        <v>0</v>
      </c>
      <c r="G804" s="6">
        <v>2000</v>
      </c>
      <c r="H804" s="4">
        <v>268</v>
      </c>
      <c r="I804" s="4">
        <v>128</v>
      </c>
      <c r="J804" s="4">
        <v>-32</v>
      </c>
    </row>
    <row r="805" spans="2:10">
      <c r="B805" s="4">
        <v>6196</v>
      </c>
      <c r="C805" s="4" t="s">
        <v>811</v>
      </c>
      <c r="D805" s="5">
        <v>0.34050000000000002</v>
      </c>
      <c r="E805" s="4">
        <v>1</v>
      </c>
      <c r="F805" s="4">
        <v>0</v>
      </c>
      <c r="G805" s="6">
        <v>1000</v>
      </c>
      <c r="H805" s="4">
        <v>291</v>
      </c>
      <c r="I805" s="4">
        <v>221</v>
      </c>
      <c r="J805" s="4">
        <v>141</v>
      </c>
    </row>
    <row r="806" spans="2:10">
      <c r="B806" s="4">
        <v>6201</v>
      </c>
      <c r="C806" s="4" t="s">
        <v>812</v>
      </c>
      <c r="D806" s="5">
        <v>0.27089999999999997</v>
      </c>
      <c r="E806" s="4">
        <v>2</v>
      </c>
      <c r="F806" s="4">
        <v>0</v>
      </c>
      <c r="G806" s="6">
        <v>2000</v>
      </c>
      <c r="H806" s="4">
        <v>442</v>
      </c>
      <c r="I806" s="4">
        <v>302</v>
      </c>
      <c r="J806" s="4">
        <v>142</v>
      </c>
    </row>
    <row r="807" spans="2:10">
      <c r="B807" s="4">
        <v>6202</v>
      </c>
      <c r="C807" s="4" t="s">
        <v>813</v>
      </c>
      <c r="D807" s="5">
        <v>7.8899999999999998E-2</v>
      </c>
      <c r="E807" s="4">
        <v>3.1669999999999998</v>
      </c>
      <c r="F807" s="4">
        <v>0</v>
      </c>
      <c r="G807" s="6">
        <v>3167</v>
      </c>
      <c r="H807" s="4">
        <v>92</v>
      </c>
      <c r="I807" s="4">
        <v>-130</v>
      </c>
      <c r="J807" s="4">
        <v>-384</v>
      </c>
    </row>
    <row r="808" spans="2:10">
      <c r="B808" s="4">
        <v>6203</v>
      </c>
      <c r="C808" s="4" t="s">
        <v>814</v>
      </c>
      <c r="D808" s="5">
        <v>0.1883</v>
      </c>
      <c r="E808" s="4">
        <v>3.5</v>
      </c>
      <c r="F808" s="4">
        <v>0</v>
      </c>
      <c r="G808" s="6">
        <v>3500</v>
      </c>
      <c r="H808" s="4">
        <v>484</v>
      </c>
      <c r="I808" s="4">
        <v>239</v>
      </c>
      <c r="J808" s="4">
        <v>-41</v>
      </c>
    </row>
    <row r="809" spans="2:10">
      <c r="B809" s="4">
        <v>6204</v>
      </c>
      <c r="C809" s="4" t="s">
        <v>815</v>
      </c>
      <c r="D809" s="5">
        <v>0.30309999999999998</v>
      </c>
      <c r="E809" s="4">
        <v>2.2000000000000002</v>
      </c>
      <c r="F809" s="4">
        <v>0</v>
      </c>
      <c r="G809" s="6">
        <v>2200</v>
      </c>
      <c r="H809" s="4">
        <v>557</v>
      </c>
      <c r="I809" s="4">
        <v>403</v>
      </c>
      <c r="J809" s="4">
        <v>227</v>
      </c>
    </row>
    <row r="810" spans="2:10">
      <c r="B810" s="4">
        <v>6205</v>
      </c>
      <c r="C810" s="4" t="s">
        <v>816</v>
      </c>
      <c r="D810" s="5">
        <v>0.2475</v>
      </c>
      <c r="E810" s="4">
        <v>0.6</v>
      </c>
      <c r="F810" s="4">
        <v>0</v>
      </c>
      <c r="G810" s="4">
        <v>600</v>
      </c>
      <c r="H810" s="4">
        <v>119</v>
      </c>
      <c r="I810" s="4">
        <v>77</v>
      </c>
      <c r="J810" s="4">
        <v>29</v>
      </c>
    </row>
    <row r="811" spans="2:10">
      <c r="B811" s="4">
        <v>6206</v>
      </c>
      <c r="C811" s="4" t="s">
        <v>817</v>
      </c>
      <c r="D811" s="5">
        <v>8.5000000000000006E-2</v>
      </c>
      <c r="E811" s="4">
        <v>4.5</v>
      </c>
      <c r="F811" s="4">
        <v>1</v>
      </c>
      <c r="G811" s="6">
        <v>5500</v>
      </c>
      <c r="H811" s="4">
        <v>193</v>
      </c>
      <c r="I811" s="4">
        <v>-193</v>
      </c>
      <c r="J811" s="4">
        <v>-633</v>
      </c>
    </row>
    <row r="812" spans="2:10">
      <c r="B812" s="4">
        <v>6207</v>
      </c>
      <c r="C812" s="4" t="s">
        <v>818</v>
      </c>
      <c r="D812" s="5">
        <v>0</v>
      </c>
      <c r="E812" s="4">
        <v>2</v>
      </c>
      <c r="F812" s="4">
        <v>1</v>
      </c>
      <c r="G812" s="6">
        <v>3000</v>
      </c>
      <c r="H812" s="4">
        <v>-150</v>
      </c>
      <c r="I812" s="4">
        <v>-360</v>
      </c>
      <c r="J812" s="4">
        <v>-600</v>
      </c>
    </row>
    <row r="813" spans="2:10">
      <c r="B813" s="4">
        <v>6208</v>
      </c>
      <c r="C813" s="4" t="s">
        <v>819</v>
      </c>
      <c r="D813" s="5">
        <v>0.20480000000000001</v>
      </c>
      <c r="E813" s="4">
        <v>0.25</v>
      </c>
      <c r="F813" s="4">
        <v>0.25</v>
      </c>
      <c r="G813" s="4">
        <v>500</v>
      </c>
      <c r="H813" s="4">
        <v>77</v>
      </c>
      <c r="I813" s="4">
        <v>42</v>
      </c>
      <c r="J813" s="4">
        <v>2</v>
      </c>
    </row>
    <row r="814" spans="2:10">
      <c r="B814" s="4">
        <v>6209</v>
      </c>
      <c r="C814" s="4" t="s">
        <v>820</v>
      </c>
      <c r="D814" s="5">
        <v>0.22900000000000001</v>
      </c>
      <c r="E814" s="4">
        <v>1</v>
      </c>
      <c r="F814" s="4">
        <v>0</v>
      </c>
      <c r="G814" s="6">
        <v>1000</v>
      </c>
      <c r="H814" s="4">
        <v>179</v>
      </c>
      <c r="I814" s="4">
        <v>109</v>
      </c>
      <c r="J814" s="4">
        <v>29</v>
      </c>
    </row>
    <row r="815" spans="2:10">
      <c r="B815" s="4">
        <v>6210</v>
      </c>
      <c r="C815" s="4" t="s">
        <v>821</v>
      </c>
      <c r="D815" s="5">
        <v>9.1800000000000007E-2</v>
      </c>
      <c r="E815" s="4">
        <v>4</v>
      </c>
      <c r="F815" s="4">
        <v>0</v>
      </c>
      <c r="G815" s="6">
        <v>4000</v>
      </c>
      <c r="H815" s="4">
        <v>167</v>
      </c>
      <c r="I815" s="4">
        <v>-113</v>
      </c>
      <c r="J815" s="4">
        <v>-433</v>
      </c>
    </row>
    <row r="816" spans="2:10">
      <c r="B816" s="4">
        <v>6213</v>
      </c>
      <c r="C816" s="4" t="s">
        <v>822</v>
      </c>
      <c r="D816" s="5">
        <v>2.81E-2</v>
      </c>
      <c r="E816" s="4">
        <v>2</v>
      </c>
      <c r="F816" s="4">
        <v>0.5</v>
      </c>
      <c r="G816" s="6">
        <v>2500</v>
      </c>
      <c r="H816" s="4">
        <v>-55</v>
      </c>
      <c r="I816" s="4">
        <v>-230</v>
      </c>
      <c r="J816" s="4">
        <v>-430</v>
      </c>
    </row>
    <row r="817" spans="2:10">
      <c r="B817" s="4">
        <v>6214</v>
      </c>
      <c r="C817" s="4" t="s">
        <v>823</v>
      </c>
      <c r="D817" s="5">
        <v>6.5600000000000006E-2</v>
      </c>
      <c r="E817" s="4">
        <v>2</v>
      </c>
      <c r="F817" s="4">
        <v>0</v>
      </c>
      <c r="G817" s="6">
        <v>2000</v>
      </c>
      <c r="H817" s="4">
        <v>31</v>
      </c>
      <c r="I817" s="4">
        <v>-109</v>
      </c>
      <c r="J817" s="4">
        <v>-269</v>
      </c>
    </row>
    <row r="818" spans="2:10">
      <c r="B818" s="4">
        <v>6215</v>
      </c>
      <c r="C818" s="4" t="s">
        <v>824</v>
      </c>
      <c r="D818" s="5">
        <v>0.1138</v>
      </c>
      <c r="E818" s="4">
        <v>1.8</v>
      </c>
      <c r="F818" s="4">
        <v>0</v>
      </c>
      <c r="G818" s="6">
        <v>1800</v>
      </c>
      <c r="H818" s="4">
        <v>115</v>
      </c>
      <c r="I818" s="4">
        <v>-11</v>
      </c>
      <c r="J818" s="4">
        <v>-155</v>
      </c>
    </row>
    <row r="819" spans="2:10">
      <c r="B819" s="4">
        <v>6216</v>
      </c>
      <c r="C819" s="4" t="s">
        <v>825</v>
      </c>
      <c r="D819" s="5">
        <v>0.15040000000000001</v>
      </c>
      <c r="E819" s="4">
        <v>1.1831199999999999</v>
      </c>
      <c r="F819" s="4">
        <v>0</v>
      </c>
      <c r="G819" s="6">
        <v>1183</v>
      </c>
      <c r="H819" s="4">
        <v>119</v>
      </c>
      <c r="I819" s="4">
        <v>36</v>
      </c>
      <c r="J819" s="4">
        <v>-59</v>
      </c>
    </row>
    <row r="820" spans="2:10">
      <c r="B820" s="4">
        <v>6217</v>
      </c>
      <c r="C820" s="4" t="s">
        <v>826</v>
      </c>
      <c r="D820" s="5">
        <v>9.7699999999999995E-2</v>
      </c>
      <c r="E820" s="4">
        <v>0.1</v>
      </c>
      <c r="F820" s="4">
        <v>0.3</v>
      </c>
      <c r="G820" s="4">
        <v>400</v>
      </c>
      <c r="H820" s="4">
        <v>19</v>
      </c>
      <c r="I820" s="4">
        <v>-9</v>
      </c>
      <c r="J820" s="4">
        <v>-41</v>
      </c>
    </row>
    <row r="821" spans="2:10">
      <c r="B821" s="4">
        <v>6218</v>
      </c>
      <c r="C821" s="4" t="s">
        <v>827</v>
      </c>
      <c r="D821" s="5">
        <v>0.2162</v>
      </c>
      <c r="E821" s="4">
        <v>2.5</v>
      </c>
      <c r="F821" s="4">
        <v>1.5</v>
      </c>
      <c r="G821" s="6">
        <v>4000</v>
      </c>
      <c r="H821" s="4">
        <v>665</v>
      </c>
      <c r="I821" s="4">
        <v>385</v>
      </c>
      <c r="J821" s="4">
        <v>65</v>
      </c>
    </row>
    <row r="822" spans="2:10">
      <c r="B822" s="4">
        <v>6220</v>
      </c>
      <c r="C822" s="4" t="s">
        <v>828</v>
      </c>
      <c r="D822" s="5">
        <v>1.3599999999999999E-2</v>
      </c>
      <c r="E822" s="4">
        <v>0.25</v>
      </c>
      <c r="F822" s="4">
        <v>0</v>
      </c>
      <c r="G822" s="4">
        <v>250</v>
      </c>
      <c r="H822" s="4">
        <v>-9</v>
      </c>
      <c r="I822" s="4">
        <v>-27</v>
      </c>
      <c r="J822" s="4">
        <v>-47</v>
      </c>
    </row>
    <row r="823" spans="2:10">
      <c r="B823" s="4">
        <v>6221</v>
      </c>
      <c r="C823" s="4" t="s">
        <v>829</v>
      </c>
      <c r="D823" s="5">
        <v>0</v>
      </c>
      <c r="E823" s="4">
        <v>0.6</v>
      </c>
      <c r="F823" s="4">
        <v>0.2</v>
      </c>
      <c r="G823" s="4">
        <v>800</v>
      </c>
      <c r="H823" s="4">
        <v>-40</v>
      </c>
      <c r="I823" s="4">
        <v>-96</v>
      </c>
      <c r="J823" s="4">
        <v>-160</v>
      </c>
    </row>
    <row r="824" spans="2:10">
      <c r="B824" s="4">
        <v>6223</v>
      </c>
      <c r="C824" s="4" t="s">
        <v>830</v>
      </c>
      <c r="D824" s="5">
        <v>9.0899999999999995E-2</v>
      </c>
      <c r="E824" s="4">
        <v>5.8</v>
      </c>
      <c r="F824" s="4">
        <v>0</v>
      </c>
      <c r="G824" s="6">
        <v>5800</v>
      </c>
      <c r="H824" s="4">
        <v>237</v>
      </c>
      <c r="I824" s="4">
        <v>-169</v>
      </c>
      <c r="J824" s="4">
        <v>-633</v>
      </c>
    </row>
    <row r="825" spans="2:10">
      <c r="B825" s="4">
        <v>6224</v>
      </c>
      <c r="C825" s="4" t="s">
        <v>831</v>
      </c>
      <c r="D825" s="5">
        <v>0.191</v>
      </c>
      <c r="E825" s="4">
        <v>3.5</v>
      </c>
      <c r="F825" s="4">
        <v>0</v>
      </c>
      <c r="G825" s="6">
        <v>3500</v>
      </c>
      <c r="H825" s="4">
        <v>494</v>
      </c>
      <c r="I825" s="4">
        <v>249</v>
      </c>
      <c r="J825" s="4">
        <v>-32</v>
      </c>
    </row>
    <row r="826" spans="2:10">
      <c r="B826" s="4">
        <v>6226</v>
      </c>
      <c r="C826" s="4" t="s">
        <v>832</v>
      </c>
      <c r="D826" s="5">
        <v>0.20760000000000001</v>
      </c>
      <c r="E826" s="4">
        <v>0</v>
      </c>
      <c r="F826" s="4">
        <v>0.4</v>
      </c>
      <c r="G826" s="4">
        <v>400</v>
      </c>
      <c r="H826" s="4">
        <v>63</v>
      </c>
      <c r="I826" s="4">
        <v>35</v>
      </c>
      <c r="J826" s="4">
        <v>3</v>
      </c>
    </row>
    <row r="827" spans="2:10">
      <c r="B827" s="4">
        <v>6227</v>
      </c>
      <c r="C827" s="4" t="s">
        <v>833</v>
      </c>
      <c r="D827" s="5">
        <v>6.6199999999999995E-2</v>
      </c>
      <c r="E827" s="4">
        <v>0.8</v>
      </c>
      <c r="F827" s="4">
        <v>0</v>
      </c>
      <c r="G827" s="4">
        <v>800</v>
      </c>
      <c r="H827" s="4">
        <v>13</v>
      </c>
      <c r="I827" s="4">
        <v>-43</v>
      </c>
      <c r="J827" s="4">
        <v>-107</v>
      </c>
    </row>
    <row r="828" spans="2:10">
      <c r="B828" s="4">
        <v>6229</v>
      </c>
      <c r="C828" s="4" t="s">
        <v>834</v>
      </c>
      <c r="D828" s="5">
        <v>2.3999999999999998E-3</v>
      </c>
      <c r="E828" s="4">
        <v>1.0900000000000001</v>
      </c>
      <c r="F828" s="4">
        <v>0</v>
      </c>
      <c r="G828" s="6">
        <v>1090</v>
      </c>
      <c r="H828" s="4">
        <v>-52</v>
      </c>
      <c r="I828" s="4">
        <v>-128</v>
      </c>
      <c r="J828" s="4">
        <v>-215</v>
      </c>
    </row>
    <row r="829" spans="2:10">
      <c r="B829" s="4">
        <v>6230</v>
      </c>
      <c r="C829" s="4" t="s">
        <v>835</v>
      </c>
      <c r="D829" s="5">
        <v>9.74E-2</v>
      </c>
      <c r="E829" s="4">
        <v>2.5</v>
      </c>
      <c r="F829" s="4">
        <v>0</v>
      </c>
      <c r="G829" s="6">
        <v>2500</v>
      </c>
      <c r="H829" s="4">
        <v>119</v>
      </c>
      <c r="I829" s="4">
        <v>-57</v>
      </c>
      <c r="J829" s="4">
        <v>-257</v>
      </c>
    </row>
    <row r="830" spans="2:10">
      <c r="B830" s="4">
        <v>6231</v>
      </c>
      <c r="C830" s="4" t="s">
        <v>836</v>
      </c>
      <c r="D830" s="5">
        <v>6.9800000000000001E-2</v>
      </c>
      <c r="E830" s="4">
        <v>5.5</v>
      </c>
      <c r="F830" s="4">
        <v>0</v>
      </c>
      <c r="G830" s="6">
        <v>5500</v>
      </c>
      <c r="H830" s="4">
        <v>109</v>
      </c>
      <c r="I830" s="4">
        <v>-276</v>
      </c>
      <c r="J830" s="4">
        <v>-716</v>
      </c>
    </row>
    <row r="831" spans="2:10">
      <c r="B831" s="4">
        <v>6239</v>
      </c>
      <c r="C831" s="4" t="s">
        <v>837</v>
      </c>
      <c r="D831" s="5">
        <v>4.0899999999999999E-2</v>
      </c>
      <c r="E831" s="4">
        <v>4</v>
      </c>
      <c r="F831" s="4">
        <v>1</v>
      </c>
      <c r="G831" s="6">
        <v>5000</v>
      </c>
      <c r="H831" s="4">
        <v>-46</v>
      </c>
      <c r="I831" s="4">
        <v>-396</v>
      </c>
      <c r="J831" s="4">
        <v>-796</v>
      </c>
    </row>
    <row r="832" spans="2:10">
      <c r="B832" s="4">
        <v>6243</v>
      </c>
      <c r="C832" s="4" t="s">
        <v>838</v>
      </c>
      <c r="D832" s="5">
        <v>0.13619999999999999</v>
      </c>
      <c r="E832" s="4">
        <v>1.65</v>
      </c>
      <c r="F832" s="4">
        <v>0.1</v>
      </c>
      <c r="G832" s="6">
        <v>1750</v>
      </c>
      <c r="H832" s="4">
        <v>151</v>
      </c>
      <c r="I832" s="4">
        <v>28</v>
      </c>
      <c r="J832" s="4">
        <v>-112</v>
      </c>
    </row>
    <row r="833" spans="2:10">
      <c r="B833" s="4">
        <v>6244</v>
      </c>
      <c r="C833" s="4" t="s">
        <v>839</v>
      </c>
      <c r="D833" s="5">
        <v>7.6200000000000004E-2</v>
      </c>
      <c r="E833" s="4">
        <v>5.5</v>
      </c>
      <c r="F833" s="4">
        <v>1.5</v>
      </c>
      <c r="G833" s="6">
        <v>7000</v>
      </c>
      <c r="H833" s="4">
        <v>183</v>
      </c>
      <c r="I833" s="4">
        <v>-307</v>
      </c>
      <c r="J833" s="4">
        <v>-867</v>
      </c>
    </row>
    <row r="834" spans="2:10">
      <c r="B834" s="4">
        <v>6245</v>
      </c>
      <c r="C834" s="4" t="s">
        <v>840</v>
      </c>
      <c r="D834" s="5">
        <v>5.2900000000000003E-2</v>
      </c>
      <c r="E834" s="4">
        <v>0.10290000000000001</v>
      </c>
      <c r="F834" s="4">
        <v>0.1542</v>
      </c>
      <c r="G834" s="4">
        <v>257</v>
      </c>
      <c r="H834" s="4">
        <v>1</v>
      </c>
      <c r="I834" s="4">
        <v>-17</v>
      </c>
      <c r="J834" s="4">
        <v>-38</v>
      </c>
    </row>
    <row r="835" spans="2:10">
      <c r="B835" s="4">
        <v>6247</v>
      </c>
      <c r="C835" s="4" t="s">
        <v>841</v>
      </c>
      <c r="D835" s="5">
        <v>0.26529999999999998</v>
      </c>
      <c r="E835" s="4">
        <v>0.45</v>
      </c>
      <c r="F835" s="4">
        <v>0</v>
      </c>
      <c r="G835" s="4">
        <v>450</v>
      </c>
      <c r="H835" s="4">
        <v>97</v>
      </c>
      <c r="I835" s="4">
        <v>65</v>
      </c>
      <c r="J835" s="4">
        <v>29</v>
      </c>
    </row>
    <row r="836" spans="2:10">
      <c r="B836" s="4">
        <v>6251</v>
      </c>
      <c r="C836" s="4" t="s">
        <v>842</v>
      </c>
      <c r="D836" s="5">
        <v>0.3569</v>
      </c>
      <c r="E836" s="4">
        <v>0.1</v>
      </c>
      <c r="F836" s="4">
        <v>0.9</v>
      </c>
      <c r="G836" s="6">
        <v>1000</v>
      </c>
      <c r="H836" s="4">
        <v>307</v>
      </c>
      <c r="I836" s="4">
        <v>237</v>
      </c>
      <c r="J836" s="4">
        <v>157</v>
      </c>
    </row>
    <row r="837" spans="2:10">
      <c r="B837" s="4">
        <v>6257</v>
      </c>
      <c r="C837" s="4" t="s">
        <v>843</v>
      </c>
      <c r="D837" s="5">
        <v>1.5299999999999999E-2</v>
      </c>
      <c r="E837" s="4">
        <v>2.2799999999999998</v>
      </c>
      <c r="F837" s="4">
        <v>0</v>
      </c>
      <c r="G837" s="6">
        <v>2280</v>
      </c>
      <c r="H837" s="4">
        <v>-79</v>
      </c>
      <c r="I837" s="4">
        <v>-239</v>
      </c>
      <c r="J837" s="4">
        <v>-421</v>
      </c>
    </row>
    <row r="838" spans="2:10">
      <c r="B838" s="4">
        <v>6261</v>
      </c>
      <c r="C838" s="4" t="s">
        <v>844</v>
      </c>
      <c r="D838" s="5">
        <v>0.1404</v>
      </c>
      <c r="E838" s="4">
        <v>5</v>
      </c>
      <c r="F838" s="4">
        <v>0.1</v>
      </c>
      <c r="G838" s="6">
        <v>5100</v>
      </c>
      <c r="H838" s="4">
        <v>461</v>
      </c>
      <c r="I838" s="4">
        <v>104</v>
      </c>
      <c r="J838" s="4">
        <v>-304</v>
      </c>
    </row>
    <row r="839" spans="2:10">
      <c r="B839" s="4">
        <v>6263</v>
      </c>
      <c r="C839" s="4" t="s">
        <v>845</v>
      </c>
      <c r="D839" s="5">
        <v>0.13669999999999999</v>
      </c>
      <c r="E839" s="4">
        <v>1.5</v>
      </c>
      <c r="F839" s="4">
        <v>0</v>
      </c>
      <c r="G839" s="6">
        <v>1500</v>
      </c>
      <c r="H839" s="4">
        <v>130</v>
      </c>
      <c r="I839" s="4">
        <v>25</v>
      </c>
      <c r="J839" s="4">
        <v>-95</v>
      </c>
    </row>
    <row r="840" spans="2:10">
      <c r="B840" s="4">
        <v>6266</v>
      </c>
      <c r="C840" s="4" t="s">
        <v>846</v>
      </c>
      <c r="D840" s="5">
        <v>0.20399999999999999</v>
      </c>
      <c r="E840" s="4">
        <v>0.63</v>
      </c>
      <c r="F840" s="4">
        <v>0.63</v>
      </c>
      <c r="G840" s="6">
        <v>1260</v>
      </c>
      <c r="H840" s="4">
        <v>194</v>
      </c>
      <c r="I840" s="4">
        <v>106</v>
      </c>
      <c r="J840" s="4">
        <v>5</v>
      </c>
    </row>
    <row r="841" spans="2:10">
      <c r="B841" s="4">
        <v>6269</v>
      </c>
      <c r="C841" s="4" t="s">
        <v>847</v>
      </c>
      <c r="D841" s="5">
        <v>0.18579999999999999</v>
      </c>
      <c r="E841" s="4">
        <v>2</v>
      </c>
      <c r="F841" s="4">
        <v>0.5</v>
      </c>
      <c r="G841" s="6">
        <v>2500</v>
      </c>
      <c r="H841" s="4">
        <v>340</v>
      </c>
      <c r="I841" s="4">
        <v>165</v>
      </c>
      <c r="J841" s="4">
        <v>-36</v>
      </c>
    </row>
    <row r="842" spans="2:10">
      <c r="B842" s="4">
        <v>6270</v>
      </c>
      <c r="C842" s="4" t="s">
        <v>848</v>
      </c>
      <c r="D842" s="5">
        <v>0.1585</v>
      </c>
      <c r="E842" s="4">
        <v>2</v>
      </c>
      <c r="F842" s="4">
        <v>0</v>
      </c>
      <c r="G842" s="6">
        <v>2000</v>
      </c>
      <c r="H842" s="4">
        <v>217</v>
      </c>
      <c r="I842" s="4">
        <v>77</v>
      </c>
      <c r="J842" s="4">
        <v>-83</v>
      </c>
    </row>
    <row r="843" spans="2:10">
      <c r="B843" s="4">
        <v>6271</v>
      </c>
      <c r="C843" s="4" t="s">
        <v>849</v>
      </c>
      <c r="D843" s="5">
        <v>0.2195</v>
      </c>
      <c r="E843" s="4">
        <v>4</v>
      </c>
      <c r="F843" s="4">
        <v>0</v>
      </c>
      <c r="G843" s="6">
        <v>4000</v>
      </c>
      <c r="H843" s="4">
        <v>678</v>
      </c>
      <c r="I843" s="4">
        <v>398</v>
      </c>
      <c r="J843" s="4">
        <v>78</v>
      </c>
    </row>
    <row r="844" spans="2:10">
      <c r="B844" s="4">
        <v>6274</v>
      </c>
      <c r="C844" s="4" t="s">
        <v>850</v>
      </c>
      <c r="D844" s="5">
        <v>0.1946</v>
      </c>
      <c r="E844" s="4">
        <v>0.8</v>
      </c>
      <c r="F844" s="4">
        <v>0</v>
      </c>
      <c r="G844" s="4">
        <v>800</v>
      </c>
      <c r="H844" s="4">
        <v>116</v>
      </c>
      <c r="I844" s="4">
        <v>60</v>
      </c>
      <c r="J844" s="4">
        <v>-4</v>
      </c>
    </row>
    <row r="845" spans="2:10">
      <c r="B845" s="4">
        <v>6275</v>
      </c>
      <c r="C845" s="4" t="s">
        <v>851</v>
      </c>
      <c r="D845" s="5">
        <v>0.22059999999999999</v>
      </c>
      <c r="E845" s="4">
        <v>0.5</v>
      </c>
      <c r="F845" s="4">
        <v>0</v>
      </c>
      <c r="G845" s="4">
        <v>500</v>
      </c>
      <c r="H845" s="4">
        <v>85</v>
      </c>
      <c r="I845" s="4">
        <v>50</v>
      </c>
      <c r="J845" s="4">
        <v>10</v>
      </c>
    </row>
    <row r="846" spans="2:10">
      <c r="B846" s="4">
        <v>6277</v>
      </c>
      <c r="C846" s="4" t="s">
        <v>852</v>
      </c>
      <c r="D846" s="5">
        <v>6.93E-2</v>
      </c>
      <c r="E846" s="4">
        <v>4.0999999999999996</v>
      </c>
      <c r="F846" s="4">
        <v>0</v>
      </c>
      <c r="G846" s="6">
        <v>4100</v>
      </c>
      <c r="H846" s="4">
        <v>79</v>
      </c>
      <c r="I846" s="4">
        <v>-208</v>
      </c>
      <c r="J846" s="4">
        <v>-536</v>
      </c>
    </row>
    <row r="847" spans="2:10">
      <c r="B847" s="4">
        <v>6278</v>
      </c>
      <c r="C847" s="4" t="s">
        <v>853</v>
      </c>
      <c r="D847" s="5">
        <v>2.9700000000000001E-2</v>
      </c>
      <c r="E847" s="4">
        <v>2.8</v>
      </c>
      <c r="F847" s="4">
        <v>1</v>
      </c>
      <c r="G847" s="6">
        <v>3800</v>
      </c>
      <c r="H847" s="4">
        <v>-77</v>
      </c>
      <c r="I847" s="4">
        <v>-343</v>
      </c>
      <c r="J847" s="4">
        <v>-647</v>
      </c>
    </row>
    <row r="848" spans="2:10">
      <c r="B848" s="4">
        <v>6279</v>
      </c>
      <c r="C848" s="4" t="s">
        <v>854</v>
      </c>
      <c r="D848" s="5">
        <v>0.1176</v>
      </c>
      <c r="E848" s="4">
        <v>3.5</v>
      </c>
      <c r="F848" s="4">
        <v>0.5</v>
      </c>
      <c r="G848" s="6">
        <v>4000</v>
      </c>
      <c r="H848" s="4">
        <v>270</v>
      </c>
      <c r="I848" s="4">
        <v>-10</v>
      </c>
      <c r="J848" s="4">
        <v>-330</v>
      </c>
    </row>
    <row r="849" spans="2:10">
      <c r="B849" s="4">
        <v>6281</v>
      </c>
      <c r="C849" s="4" t="s">
        <v>855</v>
      </c>
      <c r="D849" s="5">
        <v>0.20569999999999999</v>
      </c>
      <c r="E849" s="4">
        <v>3.48</v>
      </c>
      <c r="F849" s="4">
        <v>0</v>
      </c>
      <c r="G849" s="6">
        <v>3480</v>
      </c>
      <c r="H849" s="4">
        <v>542</v>
      </c>
      <c r="I849" s="4">
        <v>298</v>
      </c>
      <c r="J849" s="4">
        <v>20</v>
      </c>
    </row>
    <row r="850" spans="2:10">
      <c r="B850" s="4">
        <v>6282</v>
      </c>
      <c r="C850" s="4" t="s">
        <v>856</v>
      </c>
      <c r="D850" s="5">
        <v>0.13439999999999999</v>
      </c>
      <c r="E850" s="4">
        <v>1.3</v>
      </c>
      <c r="F850" s="4">
        <v>0</v>
      </c>
      <c r="G850" s="6">
        <v>1300</v>
      </c>
      <c r="H850" s="4">
        <v>110</v>
      </c>
      <c r="I850" s="4">
        <v>19</v>
      </c>
      <c r="J850" s="4">
        <v>-85</v>
      </c>
    </row>
    <row r="851" spans="2:10">
      <c r="B851" s="4">
        <v>6284</v>
      </c>
      <c r="C851" s="4" t="s">
        <v>857</v>
      </c>
      <c r="D851" s="5">
        <v>0.20480000000000001</v>
      </c>
      <c r="E851" s="4">
        <v>1.6</v>
      </c>
      <c r="F851" s="4">
        <v>0</v>
      </c>
      <c r="G851" s="6">
        <v>1600</v>
      </c>
      <c r="H851" s="4">
        <v>248</v>
      </c>
      <c r="I851" s="4">
        <v>136</v>
      </c>
      <c r="J851" s="4">
        <v>8</v>
      </c>
    </row>
    <row r="852" spans="2:10">
      <c r="B852" s="4">
        <v>6285</v>
      </c>
      <c r="C852" s="4" t="s">
        <v>858</v>
      </c>
      <c r="D852" s="5">
        <v>0.16250000000000001</v>
      </c>
      <c r="E852" s="4">
        <v>3.5</v>
      </c>
      <c r="F852" s="4">
        <v>0.5</v>
      </c>
      <c r="G852" s="6">
        <v>4000</v>
      </c>
      <c r="H852" s="4">
        <v>450</v>
      </c>
      <c r="I852" s="4">
        <v>170</v>
      </c>
      <c r="J852" s="4">
        <v>-150</v>
      </c>
    </row>
    <row r="853" spans="2:10">
      <c r="B853" s="4">
        <v>6286</v>
      </c>
      <c r="C853" s="4" t="s">
        <v>859</v>
      </c>
      <c r="D853" s="5">
        <v>2.7300000000000001E-2</v>
      </c>
      <c r="E853" s="4">
        <v>10</v>
      </c>
      <c r="F853" s="4">
        <v>0</v>
      </c>
      <c r="G853" s="6">
        <v>10000</v>
      </c>
      <c r="H853" s="4">
        <v>-227</v>
      </c>
      <c r="I853" s="4">
        <v>-927</v>
      </c>
      <c r="J853" s="4">
        <v>-1727</v>
      </c>
    </row>
    <row r="854" spans="2:10">
      <c r="B854" s="4">
        <v>6290</v>
      </c>
      <c r="C854" s="4" t="s">
        <v>860</v>
      </c>
      <c r="D854" s="5">
        <v>0.2049</v>
      </c>
      <c r="E854" s="4">
        <v>2.5</v>
      </c>
      <c r="F854" s="4">
        <v>0</v>
      </c>
      <c r="G854" s="6">
        <v>2500</v>
      </c>
      <c r="H854" s="4">
        <v>387</v>
      </c>
      <c r="I854" s="4">
        <v>212</v>
      </c>
      <c r="J854" s="4">
        <v>12</v>
      </c>
    </row>
    <row r="855" spans="2:10">
      <c r="B855" s="4">
        <v>6292</v>
      </c>
      <c r="C855" s="4" t="s">
        <v>861</v>
      </c>
      <c r="D855" s="5">
        <v>0.23649999999999999</v>
      </c>
      <c r="E855" s="4">
        <v>2.9</v>
      </c>
      <c r="F855" s="4">
        <v>0</v>
      </c>
      <c r="G855" s="6">
        <v>2900</v>
      </c>
      <c r="H855" s="4">
        <v>541</v>
      </c>
      <c r="I855" s="4">
        <v>338</v>
      </c>
      <c r="J855" s="4">
        <v>106</v>
      </c>
    </row>
    <row r="856" spans="2:10">
      <c r="B856" s="4">
        <v>6298</v>
      </c>
      <c r="C856" s="4" t="s">
        <v>862</v>
      </c>
      <c r="D856" s="5">
        <v>5.5899999999999998E-2</v>
      </c>
      <c r="E856" s="4">
        <v>0.2</v>
      </c>
      <c r="F856" s="4">
        <v>0</v>
      </c>
      <c r="G856" s="4">
        <v>200</v>
      </c>
      <c r="H856" s="4">
        <v>1</v>
      </c>
      <c r="I856" s="4">
        <v>-13</v>
      </c>
      <c r="J856" s="4">
        <v>-29</v>
      </c>
    </row>
    <row r="857" spans="2:10">
      <c r="B857" s="4">
        <v>6505</v>
      </c>
      <c r="C857" s="4" t="s">
        <v>863</v>
      </c>
      <c r="D857" s="5">
        <v>0.1067</v>
      </c>
      <c r="E857" s="4">
        <v>3.9</v>
      </c>
      <c r="F857" s="4">
        <v>0</v>
      </c>
      <c r="G857" s="6">
        <v>3900</v>
      </c>
      <c r="H857" s="4">
        <v>221</v>
      </c>
      <c r="I857" s="4">
        <v>-52</v>
      </c>
      <c r="J857" s="4">
        <v>-364</v>
      </c>
    </row>
    <row r="858" spans="2:10">
      <c r="B858" s="4">
        <v>6506</v>
      </c>
      <c r="C858" s="4" t="s">
        <v>864</v>
      </c>
      <c r="D858" s="5">
        <v>4.3299999999999998E-2</v>
      </c>
      <c r="E858" s="4">
        <v>0.6</v>
      </c>
      <c r="F858" s="4">
        <v>0.4</v>
      </c>
      <c r="G858" s="6">
        <v>1000</v>
      </c>
      <c r="H858" s="4">
        <v>-7</v>
      </c>
      <c r="I858" s="4">
        <v>-77</v>
      </c>
      <c r="J858" s="4">
        <v>-157</v>
      </c>
    </row>
    <row r="859" spans="2:10">
      <c r="B859" s="4">
        <v>6508</v>
      </c>
      <c r="C859" s="4" t="s">
        <v>865</v>
      </c>
      <c r="D859" s="5">
        <v>0.1353</v>
      </c>
      <c r="E859" s="4">
        <v>1.3</v>
      </c>
      <c r="F859" s="4">
        <v>0.2</v>
      </c>
      <c r="G859" s="6">
        <v>1500</v>
      </c>
      <c r="H859" s="4">
        <v>128</v>
      </c>
      <c r="I859" s="4">
        <v>23</v>
      </c>
      <c r="J859" s="4">
        <v>-97</v>
      </c>
    </row>
    <row r="860" spans="2:10">
      <c r="B860" s="4">
        <v>6509</v>
      </c>
      <c r="C860" s="4" t="s">
        <v>866</v>
      </c>
      <c r="D860" s="5">
        <v>0.12520000000000001</v>
      </c>
      <c r="E860" s="4">
        <v>0.1</v>
      </c>
      <c r="F860" s="4">
        <v>0.2</v>
      </c>
      <c r="G860" s="4">
        <v>300</v>
      </c>
      <c r="H860" s="4">
        <v>23</v>
      </c>
      <c r="I860" s="4">
        <v>2</v>
      </c>
      <c r="J860" s="4">
        <v>-22</v>
      </c>
    </row>
    <row r="861" spans="2:10">
      <c r="B861" s="4">
        <v>6603</v>
      </c>
      <c r="C861" s="4" t="s">
        <v>867</v>
      </c>
      <c r="D861" s="5">
        <v>0</v>
      </c>
      <c r="E861" s="4">
        <v>0.95872000000000002</v>
      </c>
      <c r="F861" s="4">
        <v>0.83887999999999996</v>
      </c>
      <c r="G861" s="6">
        <v>1798</v>
      </c>
      <c r="H861" s="4">
        <v>-90</v>
      </c>
      <c r="I861" s="4">
        <v>-216</v>
      </c>
      <c r="J861" s="4">
        <v>-360</v>
      </c>
    </row>
    <row r="862" spans="2:10">
      <c r="B862" s="4">
        <v>6605</v>
      </c>
      <c r="C862" s="4" t="s">
        <v>868</v>
      </c>
      <c r="D862" s="5">
        <v>0.2429</v>
      </c>
      <c r="E862" s="4">
        <v>4</v>
      </c>
      <c r="F862" s="4">
        <v>0</v>
      </c>
      <c r="G862" s="6">
        <v>4000</v>
      </c>
      <c r="H862" s="4">
        <v>772</v>
      </c>
      <c r="I862" s="4">
        <v>492</v>
      </c>
      <c r="J862" s="4">
        <v>172</v>
      </c>
    </row>
    <row r="863" spans="2:10">
      <c r="B863" s="4">
        <v>6609</v>
      </c>
      <c r="C863" s="4" t="s">
        <v>869</v>
      </c>
      <c r="D863" s="5">
        <v>0.3674</v>
      </c>
      <c r="E863" s="4">
        <v>0.8</v>
      </c>
      <c r="F863" s="4">
        <v>0</v>
      </c>
      <c r="G863" s="4">
        <v>800</v>
      </c>
      <c r="H863" s="4">
        <v>254</v>
      </c>
      <c r="I863" s="4">
        <v>198</v>
      </c>
      <c r="J863" s="4">
        <v>134</v>
      </c>
    </row>
    <row r="864" spans="2:10">
      <c r="B864" s="4">
        <v>6803</v>
      </c>
      <c r="C864" s="4" t="s">
        <v>870</v>
      </c>
      <c r="D864" s="5">
        <v>0.20499999999999999</v>
      </c>
      <c r="E864" s="4">
        <v>6.2</v>
      </c>
      <c r="F864" s="4">
        <v>0</v>
      </c>
      <c r="G864" s="6">
        <v>6200</v>
      </c>
      <c r="H864" s="4">
        <v>961</v>
      </c>
      <c r="I864" s="4">
        <v>527</v>
      </c>
      <c r="J864" s="4">
        <v>31</v>
      </c>
    </row>
    <row r="865" spans="2:10">
      <c r="B865" s="4">
        <v>8008</v>
      </c>
      <c r="C865" s="4" t="s">
        <v>871</v>
      </c>
      <c r="D865" s="5">
        <v>0.15959999999999999</v>
      </c>
      <c r="E865" s="4">
        <v>2.35</v>
      </c>
      <c r="F865" s="4">
        <v>0.05</v>
      </c>
      <c r="G865" s="6">
        <v>2400</v>
      </c>
      <c r="H865" s="4">
        <v>263</v>
      </c>
      <c r="I865" s="4">
        <v>95</v>
      </c>
      <c r="J865" s="4">
        <v>-97</v>
      </c>
    </row>
    <row r="866" spans="2:10">
      <c r="B866" s="4">
        <v>8016</v>
      </c>
      <c r="C866" s="4" t="s">
        <v>872</v>
      </c>
      <c r="D866" s="5">
        <v>5.0200000000000002E-2</v>
      </c>
      <c r="E866" s="4">
        <v>2.2999999999999998</v>
      </c>
      <c r="F866" s="4">
        <v>0</v>
      </c>
      <c r="G866" s="6">
        <v>2300</v>
      </c>
      <c r="H866" s="4">
        <v>0</v>
      </c>
      <c r="I866" s="4">
        <v>-161</v>
      </c>
      <c r="J866" s="4">
        <v>-345</v>
      </c>
    </row>
    <row r="867" spans="2:10">
      <c r="B867" s="4">
        <v>8021</v>
      </c>
      <c r="C867" s="4" t="s">
        <v>873</v>
      </c>
      <c r="D867" s="5">
        <v>8.5900000000000004E-2</v>
      </c>
      <c r="E867" s="4">
        <v>0.83199999999999996</v>
      </c>
      <c r="F867" s="4">
        <v>0.27700000000000002</v>
      </c>
      <c r="G867" s="6">
        <v>1109</v>
      </c>
      <c r="H867" s="4">
        <v>40</v>
      </c>
      <c r="I867" s="4">
        <v>-38</v>
      </c>
      <c r="J867" s="4">
        <v>-127</v>
      </c>
    </row>
    <row r="868" spans="2:10">
      <c r="B868" s="4">
        <v>8024</v>
      </c>
      <c r="C868" s="4" t="s">
        <v>874</v>
      </c>
      <c r="D868" s="5">
        <v>0.1125</v>
      </c>
      <c r="E868" s="4">
        <v>1.86</v>
      </c>
      <c r="F868" s="4">
        <v>0</v>
      </c>
      <c r="G868" s="6">
        <v>1860</v>
      </c>
      <c r="H868" s="4">
        <v>116</v>
      </c>
      <c r="I868" s="4">
        <v>-14</v>
      </c>
      <c r="J868" s="4">
        <v>-163</v>
      </c>
    </row>
    <row r="869" spans="2:10">
      <c r="B869" s="4">
        <v>8032</v>
      </c>
      <c r="C869" s="4" t="s">
        <v>875</v>
      </c>
      <c r="D869" s="5">
        <v>0.1245</v>
      </c>
      <c r="E869" s="4">
        <v>1.2</v>
      </c>
      <c r="F869" s="4">
        <v>0</v>
      </c>
      <c r="G869" s="6">
        <v>1200</v>
      </c>
      <c r="H869" s="4">
        <v>89</v>
      </c>
      <c r="I869" s="4">
        <v>5</v>
      </c>
      <c r="J869" s="4">
        <v>-91</v>
      </c>
    </row>
    <row r="870" spans="2:10">
      <c r="B870" s="4">
        <v>8039</v>
      </c>
      <c r="C870" s="4" t="s">
        <v>876</v>
      </c>
      <c r="D870" s="5">
        <v>0.11310000000000001</v>
      </c>
      <c r="E870" s="4">
        <v>2.35</v>
      </c>
      <c r="F870" s="4">
        <v>0.65</v>
      </c>
      <c r="G870" s="6">
        <v>3000</v>
      </c>
      <c r="H870" s="4">
        <v>189</v>
      </c>
      <c r="I870" s="4">
        <v>-21</v>
      </c>
      <c r="J870" s="4">
        <v>-261</v>
      </c>
    </row>
    <row r="871" spans="2:10">
      <c r="B871" s="4">
        <v>8040</v>
      </c>
      <c r="C871" s="4" t="s">
        <v>877</v>
      </c>
      <c r="D871" s="5">
        <v>1.1999999999999999E-3</v>
      </c>
      <c r="E871" s="4">
        <v>1.1000000000000001</v>
      </c>
      <c r="F871" s="4">
        <v>0</v>
      </c>
      <c r="G871" s="6">
        <v>1100</v>
      </c>
      <c r="H871" s="4">
        <v>-54</v>
      </c>
      <c r="I871" s="4">
        <v>-131</v>
      </c>
      <c r="J871" s="4">
        <v>-219</v>
      </c>
    </row>
    <row r="872" spans="2:10">
      <c r="B872" s="4">
        <v>8042</v>
      </c>
      <c r="C872" s="4" t="s">
        <v>878</v>
      </c>
      <c r="D872" s="5">
        <v>5.6800000000000003E-2</v>
      </c>
      <c r="E872" s="4">
        <v>4</v>
      </c>
      <c r="F872" s="4">
        <v>0</v>
      </c>
      <c r="G872" s="6">
        <v>4000</v>
      </c>
      <c r="H872" s="4">
        <v>27</v>
      </c>
      <c r="I872" s="4">
        <v>-253</v>
      </c>
      <c r="J872" s="4">
        <v>-573</v>
      </c>
    </row>
    <row r="873" spans="2:10">
      <c r="B873" s="4">
        <v>8043</v>
      </c>
      <c r="C873" s="4" t="s">
        <v>879</v>
      </c>
      <c r="D873" s="5">
        <v>0.28599999999999998</v>
      </c>
      <c r="E873" s="4">
        <v>0.85</v>
      </c>
      <c r="F873" s="4">
        <v>0</v>
      </c>
      <c r="G873" s="4">
        <v>850</v>
      </c>
      <c r="H873" s="4">
        <v>201</v>
      </c>
      <c r="I873" s="4">
        <v>141</v>
      </c>
      <c r="J873" s="4">
        <v>73</v>
      </c>
    </row>
    <row r="874" spans="2:10">
      <c r="B874" s="4">
        <v>8044</v>
      </c>
      <c r="C874" s="4" t="s">
        <v>880</v>
      </c>
      <c r="D874" s="5">
        <v>0.1116</v>
      </c>
      <c r="E874" s="4">
        <v>3.8056877600000001</v>
      </c>
      <c r="F874" s="4">
        <v>1.6310091</v>
      </c>
      <c r="G874" s="6">
        <v>5437</v>
      </c>
      <c r="H874" s="4">
        <v>335</v>
      </c>
      <c r="I874" s="4">
        <v>-46</v>
      </c>
      <c r="J874" s="4">
        <v>-481</v>
      </c>
    </row>
    <row r="875" spans="2:10">
      <c r="B875" s="4">
        <v>8046</v>
      </c>
      <c r="C875" s="4" t="s">
        <v>881</v>
      </c>
      <c r="D875" s="5">
        <v>0.20480000000000001</v>
      </c>
      <c r="E875" s="4">
        <v>0.38</v>
      </c>
      <c r="F875" s="4">
        <v>0.3</v>
      </c>
      <c r="G875" s="4">
        <v>680</v>
      </c>
      <c r="H875" s="4">
        <v>105</v>
      </c>
      <c r="I875" s="4">
        <v>58</v>
      </c>
      <c r="J875" s="4">
        <v>3</v>
      </c>
    </row>
    <row r="876" spans="2:10">
      <c r="B876" s="4">
        <v>8048</v>
      </c>
      <c r="C876" s="4" t="s">
        <v>882</v>
      </c>
      <c r="D876" s="5">
        <v>6.9599999999999995E-2</v>
      </c>
      <c r="E876" s="4">
        <v>0.2</v>
      </c>
      <c r="F876" s="4">
        <v>0.2</v>
      </c>
      <c r="G876" s="4">
        <v>400</v>
      </c>
      <c r="H876" s="4">
        <v>8</v>
      </c>
      <c r="I876" s="4">
        <v>-20</v>
      </c>
      <c r="J876" s="4">
        <v>-52</v>
      </c>
    </row>
    <row r="877" spans="2:10">
      <c r="B877" s="4">
        <v>8050</v>
      </c>
      <c r="C877" s="4" t="s">
        <v>883</v>
      </c>
      <c r="D877" s="5">
        <v>6.8000000000000005E-2</v>
      </c>
      <c r="E877" s="4">
        <v>3</v>
      </c>
      <c r="F877" s="4">
        <v>0.3</v>
      </c>
      <c r="G877" s="6">
        <v>3300</v>
      </c>
      <c r="H877" s="4">
        <v>59</v>
      </c>
      <c r="I877" s="4">
        <v>-172</v>
      </c>
      <c r="J877" s="4">
        <v>-436</v>
      </c>
    </row>
    <row r="878" spans="2:10">
      <c r="B878" s="4">
        <v>8054</v>
      </c>
      <c r="C878" s="4" t="s">
        <v>884</v>
      </c>
      <c r="D878" s="5">
        <v>2.8400000000000002E-2</v>
      </c>
      <c r="E878" s="4">
        <v>2.5</v>
      </c>
      <c r="F878" s="4">
        <v>0</v>
      </c>
      <c r="G878" s="6">
        <v>2500</v>
      </c>
      <c r="H878" s="4">
        <v>-54</v>
      </c>
      <c r="I878" s="4">
        <v>-229</v>
      </c>
      <c r="J878" s="4">
        <v>-429</v>
      </c>
    </row>
    <row r="879" spans="2:10">
      <c r="B879" s="4">
        <v>8064</v>
      </c>
      <c r="C879" s="4" t="s">
        <v>885</v>
      </c>
      <c r="D879" s="5">
        <v>0.33329999999999999</v>
      </c>
      <c r="E879" s="4">
        <v>0.4</v>
      </c>
      <c r="F879" s="4">
        <v>0</v>
      </c>
      <c r="G879" s="4">
        <v>400</v>
      </c>
      <c r="H879" s="4">
        <v>113</v>
      </c>
      <c r="I879" s="4">
        <v>85</v>
      </c>
      <c r="J879" s="4">
        <v>53</v>
      </c>
    </row>
    <row r="880" spans="2:10">
      <c r="B880" s="4">
        <v>8069</v>
      </c>
      <c r="C880" s="4" t="s">
        <v>886</v>
      </c>
      <c r="D880" s="5">
        <v>3.1E-2</v>
      </c>
      <c r="E880" s="4">
        <v>2.66</v>
      </c>
      <c r="F880" s="4">
        <v>0</v>
      </c>
      <c r="G880" s="6">
        <v>2660</v>
      </c>
      <c r="H880" s="4">
        <v>-51</v>
      </c>
      <c r="I880" s="4">
        <v>-237</v>
      </c>
      <c r="J880" s="4">
        <v>-450</v>
      </c>
    </row>
    <row r="881" spans="2:10">
      <c r="B881" s="4">
        <v>8070</v>
      </c>
      <c r="C881" s="4" t="s">
        <v>887</v>
      </c>
      <c r="D881" s="5">
        <v>0.2485</v>
      </c>
      <c r="E881" s="4">
        <v>9.6999999999999993</v>
      </c>
      <c r="F881" s="4">
        <v>0.3</v>
      </c>
      <c r="G881" s="6">
        <v>10000</v>
      </c>
      <c r="H881" s="4">
        <v>1985</v>
      </c>
      <c r="I881" s="4">
        <v>1285</v>
      </c>
      <c r="J881" s="4">
        <v>485</v>
      </c>
    </row>
    <row r="882" spans="2:10">
      <c r="B882" s="4">
        <v>8071</v>
      </c>
      <c r="C882" s="4" t="s">
        <v>888</v>
      </c>
      <c r="D882" s="5">
        <v>0.25130000000000002</v>
      </c>
      <c r="E882" s="4">
        <v>0.42</v>
      </c>
      <c r="F882" s="4">
        <v>0</v>
      </c>
      <c r="G882" s="4">
        <v>420</v>
      </c>
      <c r="H882" s="4">
        <v>85</v>
      </c>
      <c r="I882" s="4">
        <v>55</v>
      </c>
      <c r="J882" s="4">
        <v>22</v>
      </c>
    </row>
    <row r="883" spans="2:10">
      <c r="B883" s="4">
        <v>8072</v>
      </c>
      <c r="C883" s="4" t="s">
        <v>889</v>
      </c>
      <c r="D883" s="5">
        <v>0.25600000000000001</v>
      </c>
      <c r="E883" s="4">
        <v>7</v>
      </c>
      <c r="F883" s="4">
        <v>0</v>
      </c>
      <c r="G883" s="6">
        <v>7000</v>
      </c>
      <c r="H883" s="4">
        <v>1442</v>
      </c>
      <c r="I883" s="4">
        <v>952</v>
      </c>
      <c r="J883" s="4">
        <v>392</v>
      </c>
    </row>
    <row r="884" spans="2:10">
      <c r="B884" s="4">
        <v>8074</v>
      </c>
      <c r="C884" s="4" t="s">
        <v>890</v>
      </c>
      <c r="D884" s="5">
        <v>2.3699999999999999E-2</v>
      </c>
      <c r="E884" s="4">
        <v>0.3</v>
      </c>
      <c r="F884" s="4">
        <v>0.7</v>
      </c>
      <c r="G884" s="6">
        <v>1000</v>
      </c>
      <c r="H884" s="4">
        <v>-26</v>
      </c>
      <c r="I884" s="4">
        <v>-96</v>
      </c>
      <c r="J884" s="4">
        <v>-176</v>
      </c>
    </row>
    <row r="885" spans="2:10">
      <c r="B885" s="4">
        <v>8078</v>
      </c>
      <c r="C885" s="4" t="s">
        <v>891</v>
      </c>
      <c r="D885" s="5">
        <v>0.1186</v>
      </c>
      <c r="E885" s="4">
        <v>0.5</v>
      </c>
      <c r="F885" s="4">
        <v>0</v>
      </c>
      <c r="G885" s="4">
        <v>500</v>
      </c>
      <c r="H885" s="4">
        <v>34</v>
      </c>
      <c r="I885" s="4">
        <v>-1</v>
      </c>
      <c r="J885" s="4">
        <v>-41</v>
      </c>
    </row>
    <row r="886" spans="2:10">
      <c r="B886" s="4">
        <v>8079</v>
      </c>
      <c r="C886" s="4" t="s">
        <v>892</v>
      </c>
      <c r="D886" s="5">
        <v>0.14949999999999999</v>
      </c>
      <c r="E886" s="4">
        <v>1.17</v>
      </c>
      <c r="F886" s="4">
        <v>1</v>
      </c>
      <c r="G886" s="6">
        <v>2170</v>
      </c>
      <c r="H886" s="4">
        <v>216</v>
      </c>
      <c r="I886" s="4">
        <v>64</v>
      </c>
      <c r="J886" s="4">
        <v>-110</v>
      </c>
    </row>
    <row r="887" spans="2:10">
      <c r="B887" s="4">
        <v>8081</v>
      </c>
      <c r="C887" s="4" t="s">
        <v>893</v>
      </c>
      <c r="D887" s="5">
        <v>1.0200000000000001E-2</v>
      </c>
      <c r="E887" s="4">
        <v>9</v>
      </c>
      <c r="F887" s="4">
        <v>0</v>
      </c>
      <c r="G887" s="6">
        <v>9000</v>
      </c>
      <c r="H887" s="4">
        <v>-358</v>
      </c>
      <c r="I887" s="4">
        <v>-988</v>
      </c>
      <c r="J887" s="4">
        <v>-1708</v>
      </c>
    </row>
    <row r="888" spans="2:10">
      <c r="B888" s="4">
        <v>8083</v>
      </c>
      <c r="C888" s="4" t="s">
        <v>894</v>
      </c>
      <c r="D888" s="5">
        <v>0.1913</v>
      </c>
      <c r="E888" s="4">
        <v>2.2999999999999998</v>
      </c>
      <c r="F888" s="4">
        <v>0</v>
      </c>
      <c r="G888" s="6">
        <v>2300</v>
      </c>
      <c r="H888" s="4">
        <v>325</v>
      </c>
      <c r="I888" s="4">
        <v>164</v>
      </c>
      <c r="J888" s="4">
        <v>-20</v>
      </c>
    </row>
    <row r="889" spans="2:10">
      <c r="B889" s="4">
        <v>8086</v>
      </c>
      <c r="C889" s="4" t="s">
        <v>895</v>
      </c>
      <c r="D889" s="5">
        <v>8.6999999999999994E-3</v>
      </c>
      <c r="E889" s="4">
        <v>0.40200000000000002</v>
      </c>
      <c r="F889" s="4">
        <v>0.30130000000000001</v>
      </c>
      <c r="G889" s="4">
        <v>703</v>
      </c>
      <c r="H889" s="4">
        <v>-29</v>
      </c>
      <c r="I889" s="4">
        <v>-78</v>
      </c>
      <c r="J889" s="4">
        <v>-135</v>
      </c>
    </row>
    <row r="890" spans="2:10">
      <c r="B890" s="4">
        <v>8091</v>
      </c>
      <c r="C890" s="4" t="s">
        <v>896</v>
      </c>
      <c r="D890" s="5">
        <v>8.3999999999999995E-3</v>
      </c>
      <c r="E890" s="4">
        <v>5.5165800000000003</v>
      </c>
      <c r="F890" s="4">
        <v>0</v>
      </c>
      <c r="G890" s="6">
        <v>5517</v>
      </c>
      <c r="H890" s="4">
        <v>-229</v>
      </c>
      <c r="I890" s="4">
        <v>-616</v>
      </c>
      <c r="J890" s="4">
        <v>-1057</v>
      </c>
    </row>
    <row r="891" spans="2:10">
      <c r="B891" s="4">
        <v>8096</v>
      </c>
      <c r="C891" s="4" t="s">
        <v>897</v>
      </c>
      <c r="D891" s="5">
        <v>0.24709999999999999</v>
      </c>
      <c r="E891" s="4">
        <v>1.1499999999999999</v>
      </c>
      <c r="F891" s="4">
        <v>1.5</v>
      </c>
      <c r="G891" s="6">
        <v>2650</v>
      </c>
      <c r="H891" s="4">
        <v>522</v>
      </c>
      <c r="I891" s="4">
        <v>337</v>
      </c>
      <c r="J891" s="4">
        <v>125</v>
      </c>
    </row>
    <row r="892" spans="2:10">
      <c r="B892" s="4">
        <v>8099</v>
      </c>
      <c r="C892" s="4" t="s">
        <v>898</v>
      </c>
      <c r="D892" s="5">
        <v>0.1469</v>
      </c>
      <c r="E892" s="4">
        <v>1</v>
      </c>
      <c r="F892" s="4">
        <v>0</v>
      </c>
      <c r="G892" s="6">
        <v>1000</v>
      </c>
      <c r="H892" s="4">
        <v>97</v>
      </c>
      <c r="I892" s="4">
        <v>27</v>
      </c>
      <c r="J892" s="4">
        <v>-53</v>
      </c>
    </row>
    <row r="893" spans="2:10">
      <c r="B893" s="4">
        <v>8103</v>
      </c>
      <c r="C893" s="4" t="s">
        <v>899</v>
      </c>
      <c r="D893" s="5">
        <v>8.2000000000000003E-2</v>
      </c>
      <c r="E893" s="4">
        <v>3.5</v>
      </c>
      <c r="F893" s="4">
        <v>0.3</v>
      </c>
      <c r="G893" s="6">
        <v>3800</v>
      </c>
      <c r="H893" s="4">
        <v>122</v>
      </c>
      <c r="I893" s="4">
        <v>-144</v>
      </c>
      <c r="J893" s="4">
        <v>-448</v>
      </c>
    </row>
    <row r="894" spans="2:10">
      <c r="B894" s="4">
        <v>8107</v>
      </c>
      <c r="C894" s="4" t="s">
        <v>900</v>
      </c>
      <c r="D894" s="5">
        <v>0.12989999999999999</v>
      </c>
      <c r="E894" s="4">
        <v>0.85</v>
      </c>
      <c r="F894" s="4">
        <v>0</v>
      </c>
      <c r="G894" s="4">
        <v>850</v>
      </c>
      <c r="H894" s="4">
        <v>68</v>
      </c>
      <c r="I894" s="4">
        <v>8</v>
      </c>
      <c r="J894" s="4">
        <v>-60</v>
      </c>
    </row>
    <row r="895" spans="2:10">
      <c r="B895" s="4">
        <v>8109</v>
      </c>
      <c r="C895" s="4" t="s">
        <v>901</v>
      </c>
      <c r="D895" s="5">
        <v>0.1076</v>
      </c>
      <c r="E895" s="4">
        <v>1.7</v>
      </c>
      <c r="F895" s="4">
        <v>1.8</v>
      </c>
      <c r="G895" s="6">
        <v>3500</v>
      </c>
      <c r="H895" s="4">
        <v>202</v>
      </c>
      <c r="I895" s="4">
        <v>-43</v>
      </c>
      <c r="J895" s="4">
        <v>-323</v>
      </c>
    </row>
    <row r="896" spans="2:10">
      <c r="B896" s="4">
        <v>8110</v>
      </c>
      <c r="C896" s="4" t="s">
        <v>902</v>
      </c>
      <c r="D896" s="5">
        <v>0.1023</v>
      </c>
      <c r="E896" s="4">
        <v>0.46</v>
      </c>
      <c r="F896" s="4">
        <v>0</v>
      </c>
      <c r="G896" s="4">
        <v>460</v>
      </c>
      <c r="H896" s="4">
        <v>24</v>
      </c>
      <c r="I896" s="4">
        <v>-8</v>
      </c>
      <c r="J896" s="4">
        <v>-45</v>
      </c>
    </row>
    <row r="897" spans="2:10">
      <c r="B897" s="4">
        <v>8111</v>
      </c>
      <c r="C897" s="4" t="s">
        <v>903</v>
      </c>
      <c r="D897" s="5">
        <v>0.20480000000000001</v>
      </c>
      <c r="E897" s="4">
        <v>0.2</v>
      </c>
      <c r="F897" s="4">
        <v>0.5</v>
      </c>
      <c r="G897" s="4">
        <v>700</v>
      </c>
      <c r="H897" s="4">
        <v>108</v>
      </c>
      <c r="I897" s="4">
        <v>59</v>
      </c>
      <c r="J897" s="4">
        <v>3</v>
      </c>
    </row>
    <row r="898" spans="2:10">
      <c r="B898" s="4">
        <v>8112</v>
      </c>
      <c r="C898" s="4" t="s">
        <v>904</v>
      </c>
      <c r="D898" s="5">
        <v>0.15920000000000001</v>
      </c>
      <c r="E898" s="4">
        <v>1.46377</v>
      </c>
      <c r="F898" s="4">
        <v>0</v>
      </c>
      <c r="G898" s="6">
        <v>1464</v>
      </c>
      <c r="H898" s="4">
        <v>160</v>
      </c>
      <c r="I898" s="4">
        <v>57</v>
      </c>
      <c r="J898" s="4">
        <v>-60</v>
      </c>
    </row>
    <row r="899" spans="2:10">
      <c r="B899" s="4">
        <v>8114</v>
      </c>
      <c r="C899" s="4" t="s">
        <v>905</v>
      </c>
      <c r="D899" s="5">
        <v>0.28710000000000002</v>
      </c>
      <c r="E899" s="4">
        <v>4.3</v>
      </c>
      <c r="F899" s="4">
        <v>0.3</v>
      </c>
      <c r="G899" s="6">
        <v>4600</v>
      </c>
      <c r="H899" s="4">
        <v>1091</v>
      </c>
      <c r="I899" s="4">
        <v>769</v>
      </c>
      <c r="J899" s="4">
        <v>401</v>
      </c>
    </row>
    <row r="900" spans="2:10">
      <c r="B900" s="4">
        <v>8121</v>
      </c>
      <c r="C900" s="4" t="s">
        <v>906</v>
      </c>
      <c r="D900" s="5">
        <v>8.0000000000000002E-3</v>
      </c>
      <c r="E900" s="4">
        <v>1</v>
      </c>
      <c r="F900" s="4">
        <v>4</v>
      </c>
      <c r="G900" s="6">
        <v>5000</v>
      </c>
      <c r="H900" s="4">
        <v>-210</v>
      </c>
      <c r="I900" s="4">
        <v>-560</v>
      </c>
      <c r="J900" s="4">
        <v>-960</v>
      </c>
    </row>
    <row r="901" spans="2:10">
      <c r="B901" s="4">
        <v>8131</v>
      </c>
      <c r="C901" s="4" t="s">
        <v>907</v>
      </c>
      <c r="D901" s="5">
        <v>2.2800000000000001E-2</v>
      </c>
      <c r="E901" s="4">
        <v>2.5</v>
      </c>
      <c r="F901" s="4">
        <v>0</v>
      </c>
      <c r="G901" s="6">
        <v>2500</v>
      </c>
      <c r="H901" s="4">
        <v>-68</v>
      </c>
      <c r="I901" s="4">
        <v>-243</v>
      </c>
      <c r="J901" s="4">
        <v>-443</v>
      </c>
    </row>
    <row r="902" spans="2:10">
      <c r="B902" s="4">
        <v>8163</v>
      </c>
      <c r="C902" s="4" t="s">
        <v>908</v>
      </c>
      <c r="D902" s="5">
        <v>4.9200000000000001E-2</v>
      </c>
      <c r="E902" s="4">
        <v>1.5</v>
      </c>
      <c r="F902" s="4">
        <v>0</v>
      </c>
      <c r="G902" s="6">
        <v>1500</v>
      </c>
      <c r="H902" s="4">
        <v>-1</v>
      </c>
      <c r="I902" s="4">
        <v>-106</v>
      </c>
      <c r="J902" s="4">
        <v>-226</v>
      </c>
    </row>
    <row r="903" spans="2:10">
      <c r="B903" s="4">
        <v>8182</v>
      </c>
      <c r="C903" s="4" t="s">
        <v>909</v>
      </c>
      <c r="D903" s="5">
        <v>0.23419999999999999</v>
      </c>
      <c r="E903" s="4">
        <v>1.2</v>
      </c>
      <c r="F903" s="4">
        <v>0</v>
      </c>
      <c r="G903" s="6">
        <v>1200</v>
      </c>
      <c r="H903" s="4">
        <v>221</v>
      </c>
      <c r="I903" s="4">
        <v>137</v>
      </c>
      <c r="J903" s="4">
        <v>41</v>
      </c>
    </row>
    <row r="904" spans="2:10">
      <c r="B904" s="4">
        <v>8201</v>
      </c>
      <c r="C904" s="4" t="s">
        <v>910</v>
      </c>
      <c r="D904" s="5">
        <v>0.2097</v>
      </c>
      <c r="E904" s="4">
        <v>0.2</v>
      </c>
      <c r="F904" s="4">
        <v>0.5</v>
      </c>
      <c r="G904" s="4">
        <v>700</v>
      </c>
      <c r="H904" s="4">
        <v>112</v>
      </c>
      <c r="I904" s="4">
        <v>63</v>
      </c>
      <c r="J904" s="4">
        <v>7</v>
      </c>
    </row>
    <row r="905" spans="2:10">
      <c r="B905" s="4">
        <v>8210</v>
      </c>
      <c r="C905" s="4" t="s">
        <v>911</v>
      </c>
      <c r="D905" s="5">
        <v>7.5600000000000001E-2</v>
      </c>
      <c r="E905" s="4">
        <v>2.5</v>
      </c>
      <c r="F905" s="4">
        <v>0.36</v>
      </c>
      <c r="G905" s="6">
        <v>2860</v>
      </c>
      <c r="H905" s="4">
        <v>73</v>
      </c>
      <c r="I905" s="4">
        <v>-127</v>
      </c>
      <c r="J905" s="4">
        <v>-356</v>
      </c>
    </row>
    <row r="906" spans="2:10">
      <c r="B906" s="4">
        <v>8213</v>
      </c>
      <c r="C906" s="4" t="s">
        <v>912</v>
      </c>
      <c r="D906" s="5">
        <v>0.21629999999999999</v>
      </c>
      <c r="E906" s="4">
        <v>1.8</v>
      </c>
      <c r="F906" s="4">
        <v>0.2</v>
      </c>
      <c r="G906" s="6">
        <v>2000</v>
      </c>
      <c r="H906" s="4">
        <v>333</v>
      </c>
      <c r="I906" s="4">
        <v>193</v>
      </c>
      <c r="J906" s="4">
        <v>33</v>
      </c>
    </row>
    <row r="907" spans="2:10">
      <c r="B907" s="4">
        <v>8215</v>
      </c>
      <c r="C907" s="4" t="s">
        <v>913</v>
      </c>
      <c r="D907" s="5">
        <v>0.20480000000000001</v>
      </c>
      <c r="E907" s="4">
        <v>0.06</v>
      </c>
      <c r="F907" s="4">
        <v>0.34</v>
      </c>
      <c r="G907" s="4">
        <v>400</v>
      </c>
      <c r="H907" s="4">
        <v>62</v>
      </c>
      <c r="I907" s="4">
        <v>34</v>
      </c>
      <c r="J907" s="4">
        <v>2</v>
      </c>
    </row>
    <row r="908" spans="2:10">
      <c r="B908" s="4">
        <v>8234</v>
      </c>
      <c r="C908" s="4" t="s">
        <v>914</v>
      </c>
      <c r="D908" s="5">
        <v>0.28949999999999998</v>
      </c>
      <c r="E908" s="4">
        <v>1</v>
      </c>
      <c r="F908" s="4">
        <v>1</v>
      </c>
      <c r="G908" s="6">
        <v>2000</v>
      </c>
      <c r="H908" s="4">
        <v>479</v>
      </c>
      <c r="I908" s="4">
        <v>339</v>
      </c>
      <c r="J908" s="4">
        <v>179</v>
      </c>
    </row>
    <row r="909" spans="2:10">
      <c r="B909" s="4">
        <v>8240</v>
      </c>
      <c r="C909" s="4" t="s">
        <v>915</v>
      </c>
      <c r="D909" s="5">
        <v>0.1452</v>
      </c>
      <c r="E909" s="4">
        <v>3.2</v>
      </c>
      <c r="F909" s="4">
        <v>0</v>
      </c>
      <c r="G909" s="6">
        <v>3200</v>
      </c>
      <c r="H909" s="4">
        <v>305</v>
      </c>
      <c r="I909" s="4">
        <v>81</v>
      </c>
      <c r="J909" s="4">
        <v>-175</v>
      </c>
    </row>
    <row r="910" spans="2:10">
      <c r="B910" s="4">
        <v>8249</v>
      </c>
      <c r="C910" s="4" t="s">
        <v>916</v>
      </c>
      <c r="D910" s="5">
        <v>0.104</v>
      </c>
      <c r="E910" s="4">
        <v>1.7</v>
      </c>
      <c r="F910" s="4">
        <v>0</v>
      </c>
      <c r="G910" s="6">
        <v>1700</v>
      </c>
      <c r="H910" s="4">
        <v>92</v>
      </c>
      <c r="I910" s="4">
        <v>-27</v>
      </c>
      <c r="J910" s="4">
        <v>-163</v>
      </c>
    </row>
    <row r="911" spans="2:10">
      <c r="B911" s="4">
        <v>8255</v>
      </c>
      <c r="C911" s="4" t="s">
        <v>917</v>
      </c>
      <c r="D911" s="5">
        <v>0.25509999999999999</v>
      </c>
      <c r="E911" s="4">
        <v>3.5</v>
      </c>
      <c r="F911" s="4">
        <v>1</v>
      </c>
      <c r="G911" s="6">
        <v>4500</v>
      </c>
      <c r="H911" s="4">
        <v>923</v>
      </c>
      <c r="I911" s="4">
        <v>608</v>
      </c>
      <c r="J911" s="4">
        <v>248</v>
      </c>
    </row>
    <row r="912" spans="2:10">
      <c r="B912" s="4">
        <v>8261</v>
      </c>
      <c r="C912" s="4" t="s">
        <v>918</v>
      </c>
      <c r="D912" s="5">
        <v>0.1187</v>
      </c>
      <c r="E912" s="4">
        <v>0.7</v>
      </c>
      <c r="F912" s="4">
        <v>0</v>
      </c>
      <c r="G912" s="4">
        <v>700</v>
      </c>
      <c r="H912" s="4">
        <v>48</v>
      </c>
      <c r="I912" s="4">
        <v>-1</v>
      </c>
      <c r="J912" s="4">
        <v>-57</v>
      </c>
    </row>
    <row r="913" spans="2:10">
      <c r="B913" s="4">
        <v>8271</v>
      </c>
      <c r="C913" s="4" t="s">
        <v>919</v>
      </c>
      <c r="D913" s="5">
        <v>0.14580000000000001</v>
      </c>
      <c r="E913" s="4">
        <v>1.28</v>
      </c>
      <c r="F913" s="4">
        <v>0.32</v>
      </c>
      <c r="G913" s="6">
        <v>1600</v>
      </c>
      <c r="H913" s="4">
        <v>153</v>
      </c>
      <c r="I913" s="4">
        <v>41</v>
      </c>
      <c r="J913" s="4">
        <v>-87</v>
      </c>
    </row>
    <row r="914" spans="2:10">
      <c r="B914" s="4">
        <v>8287</v>
      </c>
      <c r="C914" s="4" t="s">
        <v>920</v>
      </c>
      <c r="D914" s="5">
        <v>0.16350000000000001</v>
      </c>
      <c r="E914" s="4">
        <v>0.58750000000000002</v>
      </c>
      <c r="F914" s="4">
        <v>3.36</v>
      </c>
      <c r="G914" s="6">
        <v>3948</v>
      </c>
      <c r="H914" s="4">
        <v>448</v>
      </c>
      <c r="I914" s="4">
        <v>172</v>
      </c>
      <c r="J914" s="4">
        <v>-144</v>
      </c>
    </row>
    <row r="915" spans="2:10">
      <c r="B915" s="4">
        <v>8289</v>
      </c>
      <c r="C915" s="4" t="s">
        <v>921</v>
      </c>
      <c r="D915" s="5">
        <v>0.1643</v>
      </c>
      <c r="E915" s="4">
        <v>1.3</v>
      </c>
      <c r="F915" s="4">
        <v>0.2</v>
      </c>
      <c r="G915" s="6">
        <v>1500</v>
      </c>
      <c r="H915" s="4">
        <v>171</v>
      </c>
      <c r="I915" s="4">
        <v>66</v>
      </c>
      <c r="J915" s="4">
        <v>-54</v>
      </c>
    </row>
    <row r="916" spans="2:10">
      <c r="B916" s="4">
        <v>8299</v>
      </c>
      <c r="C916" s="4" t="s">
        <v>922</v>
      </c>
      <c r="D916" s="5">
        <v>0.12609999999999999</v>
      </c>
      <c r="E916" s="4">
        <v>4.3499999999999996</v>
      </c>
      <c r="F916" s="4">
        <v>0</v>
      </c>
      <c r="G916" s="6">
        <v>4350</v>
      </c>
      <c r="H916" s="4">
        <v>331</v>
      </c>
      <c r="I916" s="4">
        <v>27</v>
      </c>
      <c r="J916" s="4">
        <v>-321</v>
      </c>
    </row>
    <row r="917" spans="2:10">
      <c r="B917" s="4">
        <v>8349</v>
      </c>
      <c r="C917" s="4" t="s">
        <v>923</v>
      </c>
      <c r="D917" s="5">
        <v>0.20050000000000001</v>
      </c>
      <c r="E917" s="4">
        <v>1.3</v>
      </c>
      <c r="F917" s="4">
        <v>0</v>
      </c>
      <c r="G917" s="6">
        <v>1300</v>
      </c>
      <c r="H917" s="4">
        <v>196</v>
      </c>
      <c r="I917" s="4">
        <v>105</v>
      </c>
      <c r="J917" s="4">
        <v>1</v>
      </c>
    </row>
    <row r="918" spans="2:10">
      <c r="B918" s="4">
        <v>8354</v>
      </c>
      <c r="C918" s="4" t="s">
        <v>924</v>
      </c>
      <c r="D918" s="5">
        <v>0.24329999999999999</v>
      </c>
      <c r="E918" s="4">
        <v>0.1</v>
      </c>
      <c r="F918" s="4">
        <v>0.4</v>
      </c>
      <c r="G918" s="4">
        <v>500</v>
      </c>
      <c r="H918" s="4">
        <v>97</v>
      </c>
      <c r="I918" s="4">
        <v>62</v>
      </c>
      <c r="J918" s="4">
        <v>22</v>
      </c>
    </row>
    <row r="919" spans="2:10">
      <c r="B919" s="4">
        <v>8358</v>
      </c>
      <c r="C919" s="4" t="s">
        <v>925</v>
      </c>
      <c r="D919" s="5">
        <v>2E-3</v>
      </c>
      <c r="E919" s="4">
        <v>1.4</v>
      </c>
      <c r="F919" s="4">
        <v>0</v>
      </c>
      <c r="G919" s="6">
        <v>1400</v>
      </c>
      <c r="H919" s="4">
        <v>-67</v>
      </c>
      <c r="I919" s="4">
        <v>-165</v>
      </c>
      <c r="J919" s="4">
        <v>-277</v>
      </c>
    </row>
    <row r="920" spans="2:10">
      <c r="B920" s="4">
        <v>8374</v>
      </c>
      <c r="C920" s="4" t="s">
        <v>926</v>
      </c>
      <c r="D920" s="5">
        <v>8.9300000000000004E-2</v>
      </c>
      <c r="E920" s="4">
        <v>0.5</v>
      </c>
      <c r="F920" s="4">
        <v>2</v>
      </c>
      <c r="G920" s="6">
        <v>2500</v>
      </c>
      <c r="H920" s="4">
        <v>98</v>
      </c>
      <c r="I920" s="4">
        <v>-77</v>
      </c>
      <c r="J920" s="4">
        <v>-277</v>
      </c>
    </row>
    <row r="921" spans="2:10">
      <c r="B921" s="4">
        <v>8383</v>
      </c>
      <c r="C921" s="4" t="s">
        <v>927</v>
      </c>
      <c r="D921" s="5">
        <v>0.24399999999999999</v>
      </c>
      <c r="E921" s="4">
        <v>0.8</v>
      </c>
      <c r="F921" s="4">
        <v>0.4</v>
      </c>
      <c r="G921" s="6">
        <v>1200</v>
      </c>
      <c r="H921" s="4">
        <v>233</v>
      </c>
      <c r="I921" s="4">
        <v>149</v>
      </c>
      <c r="J921" s="4">
        <v>53</v>
      </c>
    </row>
    <row r="922" spans="2:10">
      <c r="B922" s="4">
        <v>8390</v>
      </c>
      <c r="C922" s="4" t="s">
        <v>928</v>
      </c>
      <c r="D922" s="5">
        <v>0.1153</v>
      </c>
      <c r="E922" s="4">
        <v>1.5</v>
      </c>
      <c r="F922" s="4">
        <v>0.3</v>
      </c>
      <c r="G922" s="6">
        <v>1800</v>
      </c>
      <c r="H922" s="4">
        <v>118</v>
      </c>
      <c r="I922" s="4">
        <v>-8</v>
      </c>
      <c r="J922" s="4">
        <v>-152</v>
      </c>
    </row>
    <row r="923" spans="2:10">
      <c r="B923" s="4">
        <v>8401</v>
      </c>
      <c r="C923" s="4" t="s">
        <v>929</v>
      </c>
      <c r="D923" s="5">
        <v>0.16209999999999999</v>
      </c>
      <c r="E923" s="4">
        <v>1.5</v>
      </c>
      <c r="F923" s="4">
        <v>1</v>
      </c>
      <c r="G923" s="6">
        <v>2500</v>
      </c>
      <c r="H923" s="4">
        <v>280</v>
      </c>
      <c r="I923" s="4">
        <v>105</v>
      </c>
      <c r="J923" s="4">
        <v>-95</v>
      </c>
    </row>
    <row r="924" spans="2:10">
      <c r="B924" s="4">
        <v>8403</v>
      </c>
      <c r="C924" s="4" t="s">
        <v>930</v>
      </c>
      <c r="D924" s="5">
        <v>0.2288</v>
      </c>
      <c r="E924" s="4">
        <v>1.5</v>
      </c>
      <c r="F924" s="4">
        <v>0.3</v>
      </c>
      <c r="G924" s="6">
        <v>1800</v>
      </c>
      <c r="H924" s="4">
        <v>322</v>
      </c>
      <c r="I924" s="4">
        <v>196</v>
      </c>
      <c r="J924" s="4">
        <v>52</v>
      </c>
    </row>
    <row r="925" spans="2:10">
      <c r="B925" s="4">
        <v>8404</v>
      </c>
      <c r="C925" s="4" t="s">
        <v>931</v>
      </c>
      <c r="D925" s="5">
        <v>0</v>
      </c>
      <c r="E925" s="4">
        <v>0</v>
      </c>
      <c r="F925" s="4">
        <v>1.12504</v>
      </c>
      <c r="G925" s="6">
        <v>1125</v>
      </c>
      <c r="H925" s="4">
        <v>-56</v>
      </c>
      <c r="I925" s="4">
        <v>-135</v>
      </c>
      <c r="J925" s="4">
        <v>-225</v>
      </c>
    </row>
    <row r="926" spans="2:10">
      <c r="B926" s="4">
        <v>8410</v>
      </c>
      <c r="C926" s="4" t="s">
        <v>932</v>
      </c>
      <c r="D926" s="5">
        <v>0.19839999999999999</v>
      </c>
      <c r="E926" s="4">
        <v>2</v>
      </c>
      <c r="F926" s="4">
        <v>0</v>
      </c>
      <c r="G926" s="6">
        <v>2000</v>
      </c>
      <c r="H926" s="4">
        <v>297</v>
      </c>
      <c r="I926" s="4">
        <v>157</v>
      </c>
      <c r="J926" s="4">
        <v>-3</v>
      </c>
    </row>
    <row r="927" spans="2:10">
      <c r="B927" s="4">
        <v>8705</v>
      </c>
      <c r="C927" s="4" t="s">
        <v>933</v>
      </c>
      <c r="D927" s="5">
        <v>4.9399999999999999E-2</v>
      </c>
      <c r="E927" s="4">
        <v>1.68</v>
      </c>
      <c r="F927" s="4">
        <v>0</v>
      </c>
      <c r="G927" s="6">
        <v>1680</v>
      </c>
      <c r="H927" s="4">
        <v>-1</v>
      </c>
      <c r="I927" s="4">
        <v>-119</v>
      </c>
      <c r="J927" s="4">
        <v>-253</v>
      </c>
    </row>
    <row r="928" spans="2:10">
      <c r="B928" s="4">
        <v>8905</v>
      </c>
      <c r="C928" s="4" t="s">
        <v>934</v>
      </c>
      <c r="D928" s="5">
        <v>5.6099999999999997E-2</v>
      </c>
      <c r="E928" s="4">
        <v>0.6</v>
      </c>
      <c r="F928" s="4">
        <v>0</v>
      </c>
      <c r="G928" s="4">
        <v>600</v>
      </c>
      <c r="H928" s="4">
        <v>4</v>
      </c>
      <c r="I928" s="4">
        <v>-38</v>
      </c>
      <c r="J928" s="4">
        <v>-86</v>
      </c>
    </row>
    <row r="929" spans="2:10">
      <c r="B929" s="4">
        <v>8908</v>
      </c>
      <c r="C929" s="4" t="s">
        <v>935</v>
      </c>
      <c r="D929" s="5">
        <v>0.33850000000000002</v>
      </c>
      <c r="E929" s="4">
        <v>0</v>
      </c>
      <c r="F929" s="4">
        <v>1.4</v>
      </c>
      <c r="G929" s="6">
        <v>1400</v>
      </c>
      <c r="H929" s="4">
        <v>404</v>
      </c>
      <c r="I929" s="4">
        <v>306</v>
      </c>
      <c r="J929" s="4">
        <v>194</v>
      </c>
    </row>
    <row r="930" spans="2:10">
      <c r="B930" s="4">
        <v>8913</v>
      </c>
      <c r="C930" s="4" t="s">
        <v>936</v>
      </c>
      <c r="D930" s="5">
        <v>0.20519999999999999</v>
      </c>
      <c r="E930" s="4">
        <v>1.5</v>
      </c>
      <c r="F930" s="4">
        <v>1</v>
      </c>
      <c r="G930" s="6">
        <v>2500</v>
      </c>
      <c r="H930" s="4">
        <v>388</v>
      </c>
      <c r="I930" s="4">
        <v>213</v>
      </c>
      <c r="J930" s="4">
        <v>13</v>
      </c>
    </row>
    <row r="931" spans="2:10">
      <c r="B931" s="4">
        <v>8916</v>
      </c>
      <c r="C931" s="4" t="s">
        <v>937</v>
      </c>
      <c r="D931" s="5">
        <v>0.21149999999999999</v>
      </c>
      <c r="E931" s="4">
        <v>1.1000000000000001</v>
      </c>
      <c r="F931" s="4">
        <v>0</v>
      </c>
      <c r="G931" s="6">
        <v>1100</v>
      </c>
      <c r="H931" s="4">
        <v>178</v>
      </c>
      <c r="I931" s="4">
        <v>101</v>
      </c>
      <c r="J931" s="4">
        <v>13</v>
      </c>
    </row>
    <row r="932" spans="2:10">
      <c r="B932" s="4">
        <v>8917</v>
      </c>
      <c r="C932" s="4" t="s">
        <v>938</v>
      </c>
      <c r="D932" s="5">
        <v>0.21240000000000001</v>
      </c>
      <c r="E932" s="4">
        <v>1.5</v>
      </c>
      <c r="F932" s="4">
        <v>0.7</v>
      </c>
      <c r="G932" s="6">
        <v>2200</v>
      </c>
      <c r="H932" s="4">
        <v>357</v>
      </c>
      <c r="I932" s="4">
        <v>203</v>
      </c>
      <c r="J932" s="4">
        <v>27</v>
      </c>
    </row>
    <row r="933" spans="2:10">
      <c r="B933" s="4">
        <v>8921</v>
      </c>
      <c r="C933" s="4" t="s">
        <v>939</v>
      </c>
      <c r="D933" s="5">
        <v>8.8800000000000004E-2</v>
      </c>
      <c r="E933" s="4">
        <v>0.9</v>
      </c>
      <c r="F933" s="4">
        <v>0</v>
      </c>
      <c r="G933" s="4">
        <v>900</v>
      </c>
      <c r="H933" s="4">
        <v>35</v>
      </c>
      <c r="I933" s="4">
        <v>-28</v>
      </c>
      <c r="J933" s="4">
        <v>-100</v>
      </c>
    </row>
    <row r="934" spans="2:10">
      <c r="B934" s="4">
        <v>8923</v>
      </c>
      <c r="C934" s="4" t="s">
        <v>940</v>
      </c>
      <c r="D934" s="5">
        <v>0.26569999999999999</v>
      </c>
      <c r="E934" s="4">
        <v>1.25</v>
      </c>
      <c r="F934" s="4">
        <v>0</v>
      </c>
      <c r="G934" s="6">
        <v>1250</v>
      </c>
      <c r="H934" s="4">
        <v>270</v>
      </c>
      <c r="I934" s="4">
        <v>182</v>
      </c>
      <c r="J934" s="4">
        <v>82</v>
      </c>
    </row>
    <row r="935" spans="2:10">
      <c r="B935" s="4">
        <v>8925</v>
      </c>
      <c r="C935" s="4" t="s">
        <v>941</v>
      </c>
      <c r="D935" s="5">
        <v>0.20480000000000001</v>
      </c>
      <c r="E935" s="4">
        <v>0.13969999999999999</v>
      </c>
      <c r="F935" s="4">
        <v>0.37</v>
      </c>
      <c r="G935" s="4">
        <v>510</v>
      </c>
      <c r="H935" s="4">
        <v>79</v>
      </c>
      <c r="I935" s="4">
        <v>43</v>
      </c>
      <c r="J935" s="4">
        <v>2</v>
      </c>
    </row>
    <row r="936" spans="2:10">
      <c r="B936" s="4">
        <v>8926</v>
      </c>
      <c r="C936" s="4" t="s">
        <v>942</v>
      </c>
      <c r="D936" s="5">
        <v>0</v>
      </c>
      <c r="E936" s="4">
        <v>0.7</v>
      </c>
      <c r="F936" s="4">
        <v>0.7</v>
      </c>
      <c r="G936" s="6">
        <v>1400</v>
      </c>
      <c r="H936" s="4">
        <v>-70</v>
      </c>
      <c r="I936" s="4">
        <v>-168</v>
      </c>
      <c r="J936" s="4">
        <v>-280</v>
      </c>
    </row>
    <row r="937" spans="2:10">
      <c r="B937" s="4">
        <v>8927</v>
      </c>
      <c r="C937" s="4" t="s">
        <v>943</v>
      </c>
      <c r="D937" s="5">
        <v>0.33789999999999998</v>
      </c>
      <c r="E937" s="4">
        <v>0.05</v>
      </c>
      <c r="F937" s="4">
        <v>0.25</v>
      </c>
      <c r="G937" s="4">
        <v>300</v>
      </c>
      <c r="H937" s="4">
        <v>86</v>
      </c>
      <c r="I937" s="4">
        <v>65</v>
      </c>
      <c r="J937" s="4">
        <v>41</v>
      </c>
    </row>
    <row r="938" spans="2:10">
      <c r="B938" s="4">
        <v>8929</v>
      </c>
      <c r="C938" s="4" t="s">
        <v>944</v>
      </c>
      <c r="D938" s="5">
        <v>0.16300000000000001</v>
      </c>
      <c r="E938" s="4">
        <v>1.6</v>
      </c>
      <c r="F938" s="4">
        <v>0.2</v>
      </c>
      <c r="G938" s="6">
        <v>1800</v>
      </c>
      <c r="H938" s="4">
        <v>203</v>
      </c>
      <c r="I938" s="4">
        <v>77</v>
      </c>
      <c r="J938" s="4">
        <v>-67</v>
      </c>
    </row>
    <row r="939" spans="2:10">
      <c r="B939" s="4">
        <v>8930</v>
      </c>
      <c r="C939" s="4" t="s">
        <v>945</v>
      </c>
      <c r="D939" s="5">
        <v>7.6799999999999993E-2</v>
      </c>
      <c r="E939" s="4">
        <v>0.94</v>
      </c>
      <c r="F939" s="4">
        <v>0</v>
      </c>
      <c r="G939" s="4">
        <v>940</v>
      </c>
      <c r="H939" s="4">
        <v>25</v>
      </c>
      <c r="I939" s="4">
        <v>-41</v>
      </c>
      <c r="J939" s="4">
        <v>-116</v>
      </c>
    </row>
    <row r="940" spans="2:10">
      <c r="B940" s="4">
        <v>8931</v>
      </c>
      <c r="C940" s="4" t="s">
        <v>946</v>
      </c>
      <c r="D940" s="5">
        <v>0.26179999999999998</v>
      </c>
      <c r="E940" s="4">
        <v>0.9</v>
      </c>
      <c r="F940" s="4">
        <v>0</v>
      </c>
      <c r="G940" s="4">
        <v>900</v>
      </c>
      <c r="H940" s="4">
        <v>191</v>
      </c>
      <c r="I940" s="4">
        <v>128</v>
      </c>
      <c r="J940" s="4">
        <v>56</v>
      </c>
    </row>
    <row r="941" spans="2:10">
      <c r="B941" s="4">
        <v>8933</v>
      </c>
      <c r="C941" s="4" t="s">
        <v>947</v>
      </c>
      <c r="D941" s="5">
        <v>0.17730000000000001</v>
      </c>
      <c r="E941" s="4">
        <v>0.2</v>
      </c>
      <c r="F941" s="4">
        <v>0.6</v>
      </c>
      <c r="G941" s="4">
        <v>800</v>
      </c>
      <c r="H941" s="4">
        <v>102</v>
      </c>
      <c r="I941" s="4">
        <v>46</v>
      </c>
      <c r="J941" s="4">
        <v>-18</v>
      </c>
    </row>
    <row r="942" spans="2:10">
      <c r="B942" s="4">
        <v>8936</v>
      </c>
      <c r="C942" s="4" t="s">
        <v>948</v>
      </c>
      <c r="D942" s="5">
        <v>1.4500000000000001E-2</v>
      </c>
      <c r="E942" s="4">
        <v>0.25</v>
      </c>
      <c r="F942" s="4">
        <v>0.95</v>
      </c>
      <c r="G942" s="6">
        <v>1200</v>
      </c>
      <c r="H942" s="4">
        <v>-43</v>
      </c>
      <c r="I942" s="4">
        <v>-127</v>
      </c>
      <c r="J942" s="4">
        <v>-223</v>
      </c>
    </row>
    <row r="943" spans="2:10">
      <c r="B943" s="4">
        <v>8938</v>
      </c>
      <c r="C943" s="4" t="s">
        <v>949</v>
      </c>
      <c r="D943" s="5">
        <v>0.14380000000000001</v>
      </c>
      <c r="E943" s="4">
        <v>2.6</v>
      </c>
      <c r="F943" s="4">
        <v>0</v>
      </c>
      <c r="G943" s="6">
        <v>2600</v>
      </c>
      <c r="H943" s="4">
        <v>244</v>
      </c>
      <c r="I943" s="4">
        <v>62</v>
      </c>
      <c r="J943" s="4">
        <v>-146</v>
      </c>
    </row>
    <row r="944" spans="2:10">
      <c r="B944" s="4">
        <v>8940</v>
      </c>
      <c r="C944" s="4" t="s">
        <v>950</v>
      </c>
      <c r="D944" s="5">
        <v>0.21479999999999999</v>
      </c>
      <c r="E944" s="4">
        <v>0.85</v>
      </c>
      <c r="F944" s="4">
        <v>0.15</v>
      </c>
      <c r="G944" s="6">
        <v>1000</v>
      </c>
      <c r="H944" s="4">
        <v>165</v>
      </c>
      <c r="I944" s="4">
        <v>95</v>
      </c>
      <c r="J944" s="4">
        <v>15</v>
      </c>
    </row>
    <row r="945" spans="2:10">
      <c r="B945" s="4">
        <v>8942</v>
      </c>
      <c r="C945" s="4" t="s">
        <v>951</v>
      </c>
      <c r="D945" s="5">
        <v>0.2147</v>
      </c>
      <c r="E945" s="4">
        <v>1</v>
      </c>
      <c r="F945" s="4">
        <v>0</v>
      </c>
      <c r="G945" s="6">
        <v>1000</v>
      </c>
      <c r="H945" s="4">
        <v>165</v>
      </c>
      <c r="I945" s="4">
        <v>95</v>
      </c>
      <c r="J945" s="4">
        <v>15</v>
      </c>
    </row>
    <row r="946" spans="2:10">
      <c r="B946" s="4">
        <v>8996</v>
      </c>
      <c r="C946" s="4" t="s">
        <v>952</v>
      </c>
      <c r="D946" s="5">
        <v>9.3299999999999994E-2</v>
      </c>
      <c r="E946" s="4">
        <v>0.5</v>
      </c>
      <c r="F946" s="4">
        <v>0</v>
      </c>
      <c r="G946" s="4">
        <v>500</v>
      </c>
      <c r="H946" s="4">
        <v>22</v>
      </c>
      <c r="I946" s="4">
        <v>-13</v>
      </c>
      <c r="J946" s="4">
        <v>-53</v>
      </c>
    </row>
    <row r="947" spans="2:10">
      <c r="B947" s="4">
        <v>9105</v>
      </c>
      <c r="C947" s="4" t="s">
        <v>953</v>
      </c>
      <c r="D947" s="5">
        <v>0</v>
      </c>
      <c r="E947" s="4">
        <v>7.5800000000000006E-2</v>
      </c>
      <c r="F947" s="4">
        <v>0</v>
      </c>
      <c r="G947" s="4">
        <v>76</v>
      </c>
      <c r="H947" s="4">
        <v>-4</v>
      </c>
      <c r="I947" s="4">
        <v>-9</v>
      </c>
      <c r="J947" s="4">
        <v>-15</v>
      </c>
    </row>
    <row r="948" spans="2:10">
      <c r="B948" s="4">
        <v>9136</v>
      </c>
      <c r="C948" s="4" t="s">
        <v>954</v>
      </c>
      <c r="D948" s="5">
        <v>0</v>
      </c>
      <c r="E948" s="4">
        <v>0.29799999999999999</v>
      </c>
      <c r="F948" s="4">
        <v>0</v>
      </c>
      <c r="G948" s="4">
        <v>298</v>
      </c>
      <c r="H948" s="4">
        <v>-15</v>
      </c>
      <c r="I948" s="4">
        <v>-36</v>
      </c>
      <c r="J948" s="4">
        <v>-60</v>
      </c>
    </row>
    <row r="949" spans="2:10">
      <c r="B949" s="4">
        <v>9151</v>
      </c>
      <c r="C949" s="4" t="s">
        <v>955</v>
      </c>
      <c r="D949" s="5">
        <v>0</v>
      </c>
      <c r="E949" s="4">
        <v>0.3992</v>
      </c>
      <c r="F949" s="4">
        <v>0</v>
      </c>
      <c r="G949" s="4">
        <v>399</v>
      </c>
      <c r="H949" s="4">
        <v>-20</v>
      </c>
      <c r="I949" s="4">
        <v>-48</v>
      </c>
      <c r="J949" s="4">
        <v>-80</v>
      </c>
    </row>
    <row r="950" spans="2:10">
      <c r="B950" s="4">
        <v>9157</v>
      </c>
      <c r="C950" s="4" t="s">
        <v>956</v>
      </c>
      <c r="D950" s="5">
        <v>0</v>
      </c>
      <c r="E950" s="4">
        <v>0.15709999999999999</v>
      </c>
      <c r="F950" s="4">
        <v>0</v>
      </c>
      <c r="G950" s="4">
        <v>157</v>
      </c>
      <c r="H950" s="4">
        <v>-8</v>
      </c>
      <c r="I950" s="4">
        <v>-19</v>
      </c>
      <c r="J950" s="4">
        <v>-31</v>
      </c>
    </row>
    <row r="951" spans="2:10">
      <c r="B951" s="4">
        <v>9188</v>
      </c>
      <c r="C951" s="4" t="s">
        <v>957</v>
      </c>
      <c r="D951" s="5">
        <v>0</v>
      </c>
      <c r="E951" s="4">
        <v>0.11058</v>
      </c>
      <c r="F951" s="4">
        <v>0</v>
      </c>
      <c r="G951" s="4">
        <v>111</v>
      </c>
      <c r="H951" s="4">
        <v>-6</v>
      </c>
      <c r="I951" s="4">
        <v>-13</v>
      </c>
      <c r="J951" s="4">
        <v>-22</v>
      </c>
    </row>
    <row r="952" spans="2:10">
      <c r="B952" s="4">
        <v>9904</v>
      </c>
      <c r="C952" s="4" t="s">
        <v>958</v>
      </c>
      <c r="D952" s="5">
        <v>5.0900000000000001E-2</v>
      </c>
      <c r="E952" s="4">
        <v>1.2</v>
      </c>
      <c r="F952" s="4">
        <v>0</v>
      </c>
      <c r="G952" s="6">
        <v>1200</v>
      </c>
      <c r="H952" s="4">
        <v>1</v>
      </c>
      <c r="I952" s="4">
        <v>-83</v>
      </c>
      <c r="J952" s="4">
        <v>-179</v>
      </c>
    </row>
    <row r="953" spans="2:10">
      <c r="B953" s="4">
        <v>9905</v>
      </c>
      <c r="C953" s="4" t="s">
        <v>959</v>
      </c>
      <c r="D953" s="5">
        <v>0.14249999999999999</v>
      </c>
      <c r="E953" s="4">
        <v>1.5</v>
      </c>
      <c r="F953" s="4">
        <v>0</v>
      </c>
      <c r="G953" s="6">
        <v>1500</v>
      </c>
      <c r="H953" s="4">
        <v>139</v>
      </c>
      <c r="I953" s="4">
        <v>34</v>
      </c>
      <c r="J953" s="4">
        <v>-86</v>
      </c>
    </row>
    <row r="954" spans="2:10">
      <c r="B954" s="4">
        <v>9907</v>
      </c>
      <c r="C954" s="4" t="s">
        <v>960</v>
      </c>
      <c r="D954" s="5">
        <v>0.12920000000000001</v>
      </c>
      <c r="E954" s="4">
        <v>0.8</v>
      </c>
      <c r="F954" s="4">
        <v>0.5</v>
      </c>
      <c r="G954" s="6">
        <v>1300</v>
      </c>
      <c r="H954" s="4">
        <v>103</v>
      </c>
      <c r="I954" s="4">
        <v>12</v>
      </c>
      <c r="J954" s="4">
        <v>-92</v>
      </c>
    </row>
    <row r="955" spans="2:10">
      <c r="B955" s="4">
        <v>9908</v>
      </c>
      <c r="C955" s="4" t="s">
        <v>961</v>
      </c>
      <c r="D955" s="5">
        <v>0.17580000000000001</v>
      </c>
      <c r="E955" s="4">
        <v>1</v>
      </c>
      <c r="F955" s="4">
        <v>0</v>
      </c>
      <c r="G955" s="6">
        <v>1000</v>
      </c>
      <c r="H955" s="4">
        <v>126</v>
      </c>
      <c r="I955" s="4">
        <v>56</v>
      </c>
      <c r="J955" s="4">
        <v>-24</v>
      </c>
    </row>
    <row r="956" spans="2:10">
      <c r="B956" s="4">
        <v>9910</v>
      </c>
      <c r="C956" s="4" t="s">
        <v>962</v>
      </c>
      <c r="D956" s="5">
        <v>5.7200000000000001E-2</v>
      </c>
      <c r="E956" s="4">
        <v>1.8</v>
      </c>
      <c r="F956" s="4">
        <v>0</v>
      </c>
      <c r="G956" s="6">
        <v>1800</v>
      </c>
      <c r="H956" s="4">
        <v>13</v>
      </c>
      <c r="I956" s="4">
        <v>-113</v>
      </c>
      <c r="J956" s="4">
        <v>-257</v>
      </c>
    </row>
    <row r="957" spans="2:10">
      <c r="B957" s="4">
        <v>9911</v>
      </c>
      <c r="C957" s="4" t="s">
        <v>963</v>
      </c>
      <c r="D957" s="5">
        <v>0.1187</v>
      </c>
      <c r="E957" s="4">
        <v>0.7</v>
      </c>
      <c r="F957" s="4">
        <v>0.2</v>
      </c>
      <c r="G957" s="4">
        <v>900</v>
      </c>
      <c r="H957" s="4">
        <v>62</v>
      </c>
      <c r="I957" s="4">
        <v>-1</v>
      </c>
      <c r="J957" s="4">
        <v>-73</v>
      </c>
    </row>
    <row r="958" spans="2:10">
      <c r="B958" s="4">
        <v>9914</v>
      </c>
      <c r="C958" s="4" t="s">
        <v>964</v>
      </c>
      <c r="D958" s="5">
        <v>0.15640000000000001</v>
      </c>
      <c r="E958" s="4">
        <v>3.3</v>
      </c>
      <c r="F958" s="4">
        <v>0</v>
      </c>
      <c r="G958" s="6">
        <v>3300</v>
      </c>
      <c r="H958" s="4">
        <v>351</v>
      </c>
      <c r="I958" s="4">
        <v>120</v>
      </c>
      <c r="J958" s="4">
        <v>-144</v>
      </c>
    </row>
    <row r="959" spans="2:10">
      <c r="B959" s="4">
        <v>9917</v>
      </c>
      <c r="C959" s="4" t="s">
        <v>965</v>
      </c>
      <c r="D959" s="5">
        <v>0.1988</v>
      </c>
      <c r="E959" s="4">
        <v>3.1</v>
      </c>
      <c r="F959" s="4">
        <v>0</v>
      </c>
      <c r="G959" s="6">
        <v>3100</v>
      </c>
      <c r="H959" s="4">
        <v>461</v>
      </c>
      <c r="I959" s="4">
        <v>244</v>
      </c>
      <c r="J959" s="4">
        <v>-4</v>
      </c>
    </row>
    <row r="960" spans="2:10">
      <c r="B960" s="4">
        <v>9918</v>
      </c>
      <c r="C960" s="4" t="s">
        <v>966</v>
      </c>
      <c r="D960" s="5">
        <v>0.2208</v>
      </c>
      <c r="E960" s="4">
        <v>1.4</v>
      </c>
      <c r="F960" s="4">
        <v>0</v>
      </c>
      <c r="G960" s="6">
        <v>1400</v>
      </c>
      <c r="H960" s="4">
        <v>239</v>
      </c>
      <c r="I960" s="4">
        <v>141</v>
      </c>
      <c r="J960" s="4">
        <v>29</v>
      </c>
    </row>
    <row r="961" spans="2:10">
      <c r="B961" s="4">
        <v>9919</v>
      </c>
      <c r="C961" s="4" t="s">
        <v>967</v>
      </c>
      <c r="D961" s="5">
        <v>0.1203</v>
      </c>
      <c r="E961" s="4">
        <v>0.6</v>
      </c>
      <c r="F961" s="4">
        <v>0</v>
      </c>
      <c r="G961" s="4">
        <v>600</v>
      </c>
      <c r="H961" s="4">
        <v>42</v>
      </c>
      <c r="I961" s="4">
        <v>0</v>
      </c>
      <c r="J961" s="4">
        <v>-48</v>
      </c>
    </row>
    <row r="962" spans="2:10">
      <c r="B962" s="4">
        <v>9921</v>
      </c>
      <c r="C962" s="4" t="s">
        <v>968</v>
      </c>
      <c r="D962" s="5">
        <v>0.1232</v>
      </c>
      <c r="E962" s="4">
        <v>5</v>
      </c>
      <c r="F962" s="4">
        <v>0</v>
      </c>
      <c r="G962" s="6">
        <v>5000</v>
      </c>
      <c r="H962" s="4">
        <v>366</v>
      </c>
      <c r="I962" s="4">
        <v>16</v>
      </c>
      <c r="J962" s="4">
        <v>-384</v>
      </c>
    </row>
    <row r="963" spans="2:10">
      <c r="B963" s="4">
        <v>9924</v>
      </c>
      <c r="C963" s="4" t="s">
        <v>969</v>
      </c>
      <c r="D963" s="5">
        <v>0.12839999999999999</v>
      </c>
      <c r="E963" s="4">
        <v>1.2</v>
      </c>
      <c r="F963" s="4">
        <v>0</v>
      </c>
      <c r="G963" s="6">
        <v>1200</v>
      </c>
      <c r="H963" s="4">
        <v>94</v>
      </c>
      <c r="I963" s="4">
        <v>10</v>
      </c>
      <c r="J963" s="4">
        <v>-86</v>
      </c>
    </row>
    <row r="964" spans="2:10">
      <c r="B964" s="4">
        <v>9925</v>
      </c>
      <c r="C964" s="4" t="s">
        <v>970</v>
      </c>
      <c r="D964" s="5">
        <v>0.221</v>
      </c>
      <c r="E964" s="4">
        <v>1.7</v>
      </c>
      <c r="F964" s="4">
        <v>0</v>
      </c>
      <c r="G964" s="6">
        <v>1700</v>
      </c>
      <c r="H964" s="4">
        <v>291</v>
      </c>
      <c r="I964" s="4">
        <v>172</v>
      </c>
      <c r="J964" s="4">
        <v>36</v>
      </c>
    </row>
    <row r="965" spans="2:10">
      <c r="B965" s="4">
        <v>9926</v>
      </c>
      <c r="C965" s="4" t="s">
        <v>971</v>
      </c>
      <c r="D965" s="5">
        <v>0.24610000000000001</v>
      </c>
      <c r="E965" s="4">
        <v>1.3</v>
      </c>
      <c r="F965" s="4">
        <v>0.7</v>
      </c>
      <c r="G965" s="6">
        <v>2000</v>
      </c>
      <c r="H965" s="4">
        <v>392</v>
      </c>
      <c r="I965" s="4">
        <v>252</v>
      </c>
      <c r="J965" s="4">
        <v>92</v>
      </c>
    </row>
    <row r="966" spans="2:10">
      <c r="B966" s="4">
        <v>9927</v>
      </c>
      <c r="C966" s="4" t="s">
        <v>972</v>
      </c>
      <c r="D966" s="5">
        <v>0.17699999999999999</v>
      </c>
      <c r="E966" s="4">
        <v>2.4</v>
      </c>
      <c r="F966" s="4">
        <v>0</v>
      </c>
      <c r="G966" s="6">
        <v>2400</v>
      </c>
      <c r="H966" s="4">
        <v>305</v>
      </c>
      <c r="I966" s="4">
        <v>137</v>
      </c>
      <c r="J966" s="4">
        <v>-55</v>
      </c>
    </row>
    <row r="967" spans="2:10">
      <c r="B967" s="4">
        <v>9930</v>
      </c>
      <c r="C967" s="4" t="s">
        <v>973</v>
      </c>
      <c r="D967" s="5">
        <v>0.1943</v>
      </c>
      <c r="E967" s="4">
        <v>2.5</v>
      </c>
      <c r="F967" s="4">
        <v>0</v>
      </c>
      <c r="G967" s="6">
        <v>2500</v>
      </c>
      <c r="H967" s="4">
        <v>361</v>
      </c>
      <c r="I967" s="4">
        <v>186</v>
      </c>
      <c r="J967" s="4">
        <v>-14</v>
      </c>
    </row>
    <row r="968" spans="2:10">
      <c r="B968" s="4">
        <v>9931</v>
      </c>
      <c r="C968" s="4" t="s">
        <v>974</v>
      </c>
      <c r="D968" s="5">
        <v>0.2152</v>
      </c>
      <c r="E968" s="4">
        <v>1.6</v>
      </c>
      <c r="F968" s="4">
        <v>0</v>
      </c>
      <c r="G968" s="6">
        <v>1600</v>
      </c>
      <c r="H968" s="4">
        <v>264</v>
      </c>
      <c r="I968" s="4">
        <v>152</v>
      </c>
      <c r="J968" s="4">
        <v>24</v>
      </c>
    </row>
    <row r="969" spans="2:10">
      <c r="B969" s="4">
        <v>9933</v>
      </c>
      <c r="C969" s="4" t="s">
        <v>975</v>
      </c>
      <c r="D969" s="5">
        <v>0.14729999999999999</v>
      </c>
      <c r="E969" s="4">
        <v>2.4300000000000002</v>
      </c>
      <c r="F969" s="4">
        <v>0</v>
      </c>
      <c r="G969" s="6">
        <v>2430</v>
      </c>
      <c r="H969" s="4">
        <v>236</v>
      </c>
      <c r="I969" s="4">
        <v>66</v>
      </c>
      <c r="J969" s="4">
        <v>-128</v>
      </c>
    </row>
    <row r="970" spans="2:10">
      <c r="B970" s="4">
        <v>9934</v>
      </c>
      <c r="C970" s="4" t="s">
        <v>976</v>
      </c>
      <c r="D970" s="5">
        <v>7.8399999999999997E-2</v>
      </c>
      <c r="E970" s="4">
        <v>0.69</v>
      </c>
      <c r="F970" s="4">
        <v>0</v>
      </c>
      <c r="G970" s="4">
        <v>690</v>
      </c>
      <c r="H970" s="4">
        <v>20</v>
      </c>
      <c r="I970" s="4">
        <v>-29</v>
      </c>
      <c r="J970" s="4">
        <v>-84</v>
      </c>
    </row>
    <row r="971" spans="2:10">
      <c r="B971" s="4">
        <v>9937</v>
      </c>
      <c r="C971" s="4" t="s">
        <v>977</v>
      </c>
      <c r="D971" s="5">
        <v>3.73E-2</v>
      </c>
      <c r="E971" s="4">
        <v>4</v>
      </c>
      <c r="F971" s="4">
        <v>0</v>
      </c>
      <c r="G971" s="6">
        <v>4000</v>
      </c>
      <c r="H971" s="4">
        <v>-51</v>
      </c>
      <c r="I971" s="4">
        <v>-331</v>
      </c>
      <c r="J971" s="4">
        <v>-651</v>
      </c>
    </row>
    <row r="972" spans="2:10">
      <c r="B972" s="4">
        <v>9938</v>
      </c>
      <c r="C972" s="4" t="s">
        <v>978</v>
      </c>
      <c r="D972" s="5">
        <v>5.7200000000000001E-2</v>
      </c>
      <c r="E972" s="4">
        <v>3</v>
      </c>
      <c r="F972" s="4">
        <v>0</v>
      </c>
      <c r="G972" s="6">
        <v>3000</v>
      </c>
      <c r="H972" s="4">
        <v>22</v>
      </c>
      <c r="I972" s="4">
        <v>-188</v>
      </c>
      <c r="J972" s="4">
        <v>-428</v>
      </c>
    </row>
    <row r="973" spans="2:10">
      <c r="B973" s="4">
        <v>9939</v>
      </c>
      <c r="C973" s="4" t="s">
        <v>979</v>
      </c>
      <c r="D973" s="5">
        <v>0.1258</v>
      </c>
      <c r="E973" s="4">
        <v>3</v>
      </c>
      <c r="F973" s="4">
        <v>0</v>
      </c>
      <c r="G973" s="6">
        <v>3000</v>
      </c>
      <c r="H973" s="4">
        <v>227</v>
      </c>
      <c r="I973" s="4">
        <v>17</v>
      </c>
      <c r="J973" s="4">
        <v>-223</v>
      </c>
    </row>
    <row r="974" spans="2:10">
      <c r="B974" s="4">
        <v>9940</v>
      </c>
      <c r="C974" s="4" t="s">
        <v>980</v>
      </c>
      <c r="D974" s="5">
        <v>0.2104</v>
      </c>
      <c r="E974" s="4">
        <v>3</v>
      </c>
      <c r="F974" s="4">
        <v>2</v>
      </c>
      <c r="G974" s="6">
        <v>5000</v>
      </c>
      <c r="H974" s="4">
        <v>802</v>
      </c>
      <c r="I974" s="4">
        <v>452</v>
      </c>
      <c r="J974" s="4">
        <v>52</v>
      </c>
    </row>
    <row r="975" spans="2:10">
      <c r="B975" s="4">
        <v>9941</v>
      </c>
      <c r="C975" s="4" t="s">
        <v>981</v>
      </c>
      <c r="D975" s="5">
        <v>0.1804</v>
      </c>
      <c r="E975" s="4">
        <v>2.8</v>
      </c>
      <c r="F975" s="4">
        <v>0</v>
      </c>
      <c r="G975" s="6">
        <v>2800</v>
      </c>
      <c r="H975" s="4">
        <v>365</v>
      </c>
      <c r="I975" s="4">
        <v>169</v>
      </c>
      <c r="J975" s="4">
        <v>-55</v>
      </c>
    </row>
    <row r="976" spans="2:10">
      <c r="B976" s="4">
        <v>9942</v>
      </c>
      <c r="C976" s="4" t="s">
        <v>982</v>
      </c>
      <c r="D976" s="5">
        <v>6.3E-2</v>
      </c>
      <c r="E976" s="4">
        <v>3.2</v>
      </c>
      <c r="F976" s="4">
        <v>0</v>
      </c>
      <c r="G976" s="6">
        <v>3200</v>
      </c>
      <c r="H976" s="4">
        <v>42</v>
      </c>
      <c r="I976" s="4">
        <v>-182</v>
      </c>
      <c r="J976" s="4">
        <v>-438</v>
      </c>
    </row>
    <row r="977" spans="2:10">
      <c r="B977" s="4">
        <v>9943</v>
      </c>
      <c r="C977" s="4" t="s">
        <v>983</v>
      </c>
      <c r="D977" s="5">
        <v>0.36370000000000002</v>
      </c>
      <c r="E977" s="4">
        <v>1.5</v>
      </c>
      <c r="F977" s="4">
        <v>0</v>
      </c>
      <c r="G977" s="6">
        <v>1500</v>
      </c>
      <c r="H977" s="4">
        <v>471</v>
      </c>
      <c r="I977" s="4">
        <v>366</v>
      </c>
      <c r="J977" s="4">
        <v>246</v>
      </c>
    </row>
    <row r="978" spans="2:10">
      <c r="B978" s="4">
        <v>9944</v>
      </c>
      <c r="C978" s="4" t="s">
        <v>984</v>
      </c>
      <c r="D978" s="5">
        <v>8.4099999999999994E-2</v>
      </c>
      <c r="E978" s="4">
        <v>0.5</v>
      </c>
      <c r="F978" s="4">
        <v>0</v>
      </c>
      <c r="G978" s="4">
        <v>500</v>
      </c>
      <c r="H978" s="4">
        <v>17</v>
      </c>
      <c r="I978" s="4">
        <v>-18</v>
      </c>
      <c r="J978" s="4">
        <v>-58</v>
      </c>
    </row>
    <row r="979" spans="2:10">
      <c r="B979" s="4">
        <v>9945</v>
      </c>
      <c r="C979" s="4" t="s">
        <v>985</v>
      </c>
      <c r="D979" s="5">
        <v>1.5599999999999999E-2</v>
      </c>
      <c r="E979" s="4">
        <v>1</v>
      </c>
      <c r="F979" s="4">
        <v>0</v>
      </c>
      <c r="G979" s="6">
        <v>1000</v>
      </c>
      <c r="H979" s="4">
        <v>-34</v>
      </c>
      <c r="I979" s="4">
        <v>-104</v>
      </c>
      <c r="J979" s="4">
        <v>-184</v>
      </c>
    </row>
    <row r="980" spans="2:10">
      <c r="B980" s="4">
        <v>9949</v>
      </c>
      <c r="C980" s="4" t="s">
        <v>986</v>
      </c>
      <c r="D980" s="5">
        <v>0.18140000000000001</v>
      </c>
      <c r="E980" s="4">
        <v>0.8</v>
      </c>
      <c r="F980" s="4">
        <v>0.4</v>
      </c>
      <c r="G980" s="6">
        <v>1200</v>
      </c>
      <c r="H980" s="4">
        <v>158</v>
      </c>
      <c r="I980" s="4">
        <v>74</v>
      </c>
      <c r="J980" s="4">
        <v>-22</v>
      </c>
    </row>
    <row r="981" spans="2:10">
      <c r="B981" s="4">
        <v>9950</v>
      </c>
      <c r="C981" s="4" t="s">
        <v>987</v>
      </c>
      <c r="D981" s="5">
        <v>0.20580000000000001</v>
      </c>
      <c r="E981" s="4">
        <v>1.27</v>
      </c>
      <c r="F981" s="4">
        <v>0</v>
      </c>
      <c r="G981" s="6">
        <v>1270</v>
      </c>
      <c r="H981" s="4">
        <v>198</v>
      </c>
      <c r="I981" s="4">
        <v>109</v>
      </c>
      <c r="J981" s="4">
        <v>7</v>
      </c>
    </row>
    <row r="982" spans="2:10">
      <c r="B982" s="4">
        <v>9951</v>
      </c>
      <c r="C982" s="4" t="s">
        <v>988</v>
      </c>
      <c r="D982" s="5">
        <v>0.21279999999999999</v>
      </c>
      <c r="E982" s="4">
        <v>2</v>
      </c>
      <c r="F982" s="4">
        <v>0</v>
      </c>
      <c r="G982" s="6">
        <v>2000</v>
      </c>
      <c r="H982" s="4">
        <v>326</v>
      </c>
      <c r="I982" s="4">
        <v>186</v>
      </c>
      <c r="J982" s="4">
        <v>26</v>
      </c>
    </row>
    <row r="983" spans="2:10">
      <c r="B983" s="4">
        <v>9955</v>
      </c>
      <c r="C983" s="4" t="s">
        <v>989</v>
      </c>
      <c r="D983" s="5">
        <v>0.2477</v>
      </c>
      <c r="E983" s="4">
        <v>1.7</v>
      </c>
      <c r="F983" s="4">
        <v>0.5</v>
      </c>
      <c r="G983" s="6">
        <v>2200</v>
      </c>
      <c r="H983" s="4">
        <v>435</v>
      </c>
      <c r="I983" s="4">
        <v>281</v>
      </c>
      <c r="J983" s="4">
        <v>105</v>
      </c>
    </row>
    <row r="984" spans="2:10">
      <c r="B984" s="4">
        <v>9958</v>
      </c>
      <c r="C984" s="4" t="s">
        <v>990</v>
      </c>
      <c r="D984" s="5">
        <v>0.38690000000000002</v>
      </c>
      <c r="E984" s="4">
        <v>0.2</v>
      </c>
      <c r="F984" s="4">
        <v>0</v>
      </c>
      <c r="G984" s="4">
        <v>200</v>
      </c>
      <c r="H984" s="4">
        <v>67</v>
      </c>
      <c r="I984" s="4">
        <v>53</v>
      </c>
      <c r="J984" s="4">
        <v>37</v>
      </c>
    </row>
    <row r="985" spans="2:10">
      <c r="B985" s="4">
        <v>9960</v>
      </c>
      <c r="C985" s="4" t="s">
        <v>991</v>
      </c>
      <c r="D985" s="5">
        <v>4.5499999999999999E-2</v>
      </c>
      <c r="E985" s="4">
        <v>0.4</v>
      </c>
      <c r="F985" s="4">
        <v>0.4</v>
      </c>
      <c r="G985" s="4">
        <v>800</v>
      </c>
      <c r="H985" s="4">
        <v>-4</v>
      </c>
      <c r="I985" s="4">
        <v>-60</v>
      </c>
      <c r="J985" s="4">
        <v>-124</v>
      </c>
    </row>
    <row r="986" spans="2:10">
      <c r="B986" s="4">
        <v>9962</v>
      </c>
      <c r="C986" s="4" t="s">
        <v>992</v>
      </c>
      <c r="D986" s="5">
        <v>6.4999999999999997E-3</v>
      </c>
      <c r="E986" s="4">
        <v>0.4</v>
      </c>
      <c r="F986" s="4">
        <v>1.5</v>
      </c>
      <c r="G986" s="6">
        <v>1900</v>
      </c>
      <c r="H986" s="4">
        <v>-83</v>
      </c>
      <c r="I986" s="4">
        <v>-216</v>
      </c>
      <c r="J986" s="4">
        <v>-368</v>
      </c>
    </row>
  </sheetData>
  <phoneticPr fontId="21" type="noConversion"/>
  <pageMargins left="0.7" right="0.7" top="0.75" bottom="0.75" header="0.3" footer="0.3"/>
  <headerFooter alignWithMargins="0"/>
</worksheet>
</file>

<file path=xl/worksheets/sheet2.xml><?xml version="1.0" encoding="utf-8"?>
<worksheet xmlns="http://schemas.openxmlformats.org/spreadsheetml/2006/main" xmlns:r="http://schemas.openxmlformats.org/officeDocument/2006/relationships">
  <sheetPr codeName="Sheet1"/>
  <dimension ref="B2:S10"/>
  <sheetViews>
    <sheetView showGridLines="0" tabSelected="1" zoomScale="75" workbookViewId="0">
      <selection activeCell="U10" sqref="U10"/>
    </sheetView>
  </sheetViews>
  <sheetFormatPr defaultRowHeight="16.2"/>
  <cols>
    <col min="3" max="6" width="10.44140625" bestFit="1" customWidth="1"/>
    <col min="7" max="9" width="10.21875" bestFit="1" customWidth="1"/>
    <col min="10" max="10" width="12.6640625" bestFit="1" customWidth="1"/>
    <col min="11" max="11" width="10.44140625" bestFit="1" customWidth="1"/>
    <col min="12" max="13" width="12.88671875" bestFit="1" customWidth="1"/>
    <col min="14" max="14" width="12" customWidth="1"/>
    <col min="15" max="15" width="10.21875" bestFit="1" customWidth="1"/>
    <col min="16" max="16" width="12.21875" bestFit="1" customWidth="1"/>
    <col min="17" max="18" width="12.44140625" bestFit="1" customWidth="1"/>
  </cols>
  <sheetData>
    <row r="2" spans="2:19">
      <c r="B2" s="145" t="s">
        <v>1194</v>
      </c>
      <c r="C2" s="146"/>
      <c r="D2" s="146"/>
      <c r="E2" s="146"/>
      <c r="F2" s="146"/>
      <c r="G2" s="146"/>
      <c r="H2" s="146"/>
      <c r="I2" s="146"/>
      <c r="J2" s="146"/>
      <c r="K2" s="146"/>
      <c r="L2" s="146"/>
      <c r="M2" s="146"/>
      <c r="N2" s="146"/>
      <c r="O2" s="146"/>
      <c r="P2" s="146"/>
      <c r="Q2" s="146"/>
      <c r="R2" s="147"/>
    </row>
    <row r="3" spans="2:19" ht="32.4" customHeight="1">
      <c r="B3" s="157" t="s">
        <v>1203</v>
      </c>
      <c r="C3" s="157"/>
      <c r="D3" s="157"/>
      <c r="E3" s="157"/>
      <c r="F3" s="157"/>
      <c r="G3" s="157"/>
      <c r="H3" s="120" t="s">
        <v>1037</v>
      </c>
      <c r="I3" s="8" t="s">
        <v>1038</v>
      </c>
      <c r="J3" s="8" t="s">
        <v>1039</v>
      </c>
      <c r="K3" s="124" t="s">
        <v>1180</v>
      </c>
      <c r="L3" s="124" t="s">
        <v>1179</v>
      </c>
      <c r="M3" s="124" t="s">
        <v>1183</v>
      </c>
      <c r="N3" s="124" t="s">
        <v>1184</v>
      </c>
      <c r="O3" s="124" t="s">
        <v>1188</v>
      </c>
      <c r="P3" s="124" t="s">
        <v>1189</v>
      </c>
      <c r="Q3" s="124" t="s">
        <v>1190</v>
      </c>
      <c r="R3" s="124" t="s">
        <v>1200</v>
      </c>
    </row>
    <row r="4" spans="2:19">
      <c r="B4" s="157"/>
      <c r="C4" s="157"/>
      <c r="D4" s="157"/>
      <c r="E4" s="157"/>
      <c r="F4" s="157"/>
      <c r="G4" s="157"/>
      <c r="H4" s="58" t="s">
        <v>1196</v>
      </c>
      <c r="I4" s="133" t="s">
        <v>1193</v>
      </c>
      <c r="J4" s="60" t="s">
        <v>1197</v>
      </c>
      <c r="K4" s="128" t="s">
        <v>1191</v>
      </c>
      <c r="L4" s="129" t="s">
        <v>1181</v>
      </c>
      <c r="M4" s="130" t="s">
        <v>1182</v>
      </c>
      <c r="N4" s="130" t="s">
        <v>1214</v>
      </c>
      <c r="O4" s="131" t="s">
        <v>1185</v>
      </c>
      <c r="P4" s="129" t="s">
        <v>1186</v>
      </c>
      <c r="Q4" s="130" t="s">
        <v>1187</v>
      </c>
      <c r="R4" s="130" t="s">
        <v>1201</v>
      </c>
    </row>
    <row r="5" spans="2:19">
      <c r="B5" s="157"/>
      <c r="C5" s="157"/>
      <c r="D5" s="157"/>
      <c r="E5" s="157"/>
      <c r="F5" s="157"/>
      <c r="G5" s="157"/>
      <c r="H5" s="58">
        <v>16</v>
      </c>
      <c r="I5" s="133">
        <v>20</v>
      </c>
      <c r="J5" s="60">
        <v>32</v>
      </c>
      <c r="K5" s="128">
        <v>50</v>
      </c>
      <c r="L5" s="129">
        <v>15</v>
      </c>
      <c r="M5" s="130">
        <v>0.2</v>
      </c>
      <c r="N5" s="130">
        <v>0.05</v>
      </c>
      <c r="O5" s="131">
        <v>2</v>
      </c>
      <c r="P5" s="129">
        <v>12</v>
      </c>
      <c r="Q5" s="130">
        <v>0.5</v>
      </c>
      <c r="R5" s="144">
        <v>0.2</v>
      </c>
    </row>
    <row r="6" spans="2:19">
      <c r="C6" s="127"/>
    </row>
    <row r="8" spans="2:19" ht="16.2" customHeight="1">
      <c r="C8" s="153" t="s">
        <v>995</v>
      </c>
      <c r="D8" s="153" t="s">
        <v>1168</v>
      </c>
      <c r="E8" s="132" t="s">
        <v>1195</v>
      </c>
      <c r="F8" s="155" t="s">
        <v>1199</v>
      </c>
      <c r="G8" s="154" t="s">
        <v>1174</v>
      </c>
      <c r="H8" s="151" t="s">
        <v>1192</v>
      </c>
      <c r="I8" s="151"/>
      <c r="J8" s="151"/>
      <c r="K8" s="148" t="s">
        <v>1202</v>
      </c>
      <c r="L8" s="149"/>
      <c r="M8" s="149"/>
      <c r="N8" s="149"/>
      <c r="O8" s="149"/>
      <c r="P8" s="149"/>
      <c r="Q8" s="149"/>
      <c r="R8" s="150"/>
      <c r="S8" s="152" t="s">
        <v>1176</v>
      </c>
    </row>
    <row r="9" spans="2:19" ht="32.4" customHeight="1">
      <c r="C9" s="153"/>
      <c r="D9" s="153"/>
      <c r="E9" s="134">
        <f ca="1">NOW()</f>
        <v>40973.327264120373</v>
      </c>
      <c r="F9" s="156"/>
      <c r="G9" s="154"/>
      <c r="H9" s="120" t="s">
        <v>1037</v>
      </c>
      <c r="I9" s="8" t="s">
        <v>1038</v>
      </c>
      <c r="J9" s="8" t="s">
        <v>1039</v>
      </c>
      <c r="K9" s="124" t="s">
        <v>1173</v>
      </c>
      <c r="L9" s="124" t="s">
        <v>1169</v>
      </c>
      <c r="M9" s="124" t="s">
        <v>1170</v>
      </c>
      <c r="N9" s="124" t="s">
        <v>1215</v>
      </c>
      <c r="O9" s="124" t="s">
        <v>1175</v>
      </c>
      <c r="P9" s="124" t="s">
        <v>1171</v>
      </c>
      <c r="Q9" s="124" t="s">
        <v>1172</v>
      </c>
      <c r="R9" s="143" t="s">
        <v>1210</v>
      </c>
      <c r="S9" s="152"/>
    </row>
    <row r="10" spans="2:19">
      <c r="C10" s="14">
        <v>2330</v>
      </c>
      <c r="D10" s="126" t="str">
        <f>台積電!$B$2</f>
        <v>台積電</v>
      </c>
      <c r="E10" s="14">
        <f>台積電!$D$1</f>
        <v>79.3</v>
      </c>
      <c r="F10" s="14" t="str">
        <f>台積電!D2</f>
        <v xml:space="preserve">▽0.7 </v>
      </c>
      <c r="G10" s="121">
        <f>台積電!$B$37</f>
        <v>3.0059999999999998</v>
      </c>
      <c r="H10" s="58">
        <f>G10*H5</f>
        <v>48.095999999999997</v>
      </c>
      <c r="I10" s="133">
        <f>G10*I5</f>
        <v>60.12</v>
      </c>
      <c r="J10" s="60">
        <f>G10*J5</f>
        <v>96.191999999999993</v>
      </c>
      <c r="K10" s="122">
        <f>台積電!$F$1</f>
        <v>2591.41</v>
      </c>
      <c r="L10" s="10">
        <f>台積電!$F$2</f>
        <v>24.3</v>
      </c>
      <c r="M10" s="123">
        <f>台積電!$F$4</f>
        <v>0.439</v>
      </c>
      <c r="N10" s="123">
        <f>台積電!$F$5</f>
        <v>5.0999999999999997E-2</v>
      </c>
      <c r="O10" s="121">
        <f>台積電!$F$6</f>
        <v>3.2633744855967075</v>
      </c>
      <c r="P10" s="10">
        <f>台積電!$F$7</f>
        <v>14.34</v>
      </c>
      <c r="Q10" s="123">
        <f>台積電!$F$8</f>
        <v>0.17</v>
      </c>
      <c r="R10" s="123">
        <f>台積電!D6</f>
        <v>4.7E-2</v>
      </c>
      <c r="S10" s="14"/>
    </row>
  </sheetData>
  <mergeCells count="9">
    <mergeCell ref="B2:R2"/>
    <mergeCell ref="K8:R8"/>
    <mergeCell ref="H8:J8"/>
    <mergeCell ref="S8:S9"/>
    <mergeCell ref="C8:C9"/>
    <mergeCell ref="D8:D9"/>
    <mergeCell ref="G8:G9"/>
    <mergeCell ref="F8:F9"/>
    <mergeCell ref="B3:G5"/>
  </mergeCells>
  <phoneticPr fontId="21" type="noConversion"/>
  <conditionalFormatting sqref="E10">
    <cfRule type="cellIs" dxfId="48" priority="514" stopIfTrue="1" operator="lessThan">
      <formula>H10</formula>
    </cfRule>
    <cfRule type="cellIs" dxfId="47" priority="515" stopIfTrue="1" operator="between">
      <formula>H10</formula>
      <formula>I10</formula>
    </cfRule>
    <cfRule type="cellIs" dxfId="46" priority="516" stopIfTrue="1" operator="greaterThanOrEqual">
      <formula>J10</formula>
    </cfRule>
  </conditionalFormatting>
  <conditionalFormatting sqref="F10">
    <cfRule type="cellIs" dxfId="45" priority="480" stopIfTrue="1" operator="lessThan">
      <formula>#REF!</formula>
    </cfRule>
    <cfRule type="cellIs" dxfId="44" priority="481" stopIfTrue="1" operator="between">
      <formula>#REF!</formula>
      <formula>#REF!</formula>
    </cfRule>
    <cfRule type="cellIs" dxfId="43" priority="482" stopIfTrue="1" operator="greaterThanOrEqual">
      <formula>#REF!</formula>
    </cfRule>
  </conditionalFormatting>
  <conditionalFormatting sqref="G10 K10">
    <cfRule type="cellIs" dxfId="42" priority="483" stopIfTrue="1" operator="greaterThanOrEqual">
      <formula>$K$5</formula>
    </cfRule>
    <cfRule type="cellIs" dxfId="41" priority="484" stopIfTrue="1" operator="lessThan">
      <formula>$K$5</formula>
    </cfRule>
  </conditionalFormatting>
  <conditionalFormatting sqref="L10">
    <cfRule type="cellIs" dxfId="40" priority="485" stopIfTrue="1" operator="greaterThanOrEqual">
      <formula>$L$5</formula>
    </cfRule>
    <cfRule type="cellIs" dxfId="39" priority="486" stopIfTrue="1" operator="lessThan">
      <formula>$L$5</formula>
    </cfRule>
  </conditionalFormatting>
  <conditionalFormatting sqref="M10">
    <cfRule type="cellIs" dxfId="38" priority="487" stopIfTrue="1" operator="greaterThanOrEqual">
      <formula>$M$5</formula>
    </cfRule>
    <cfRule type="cellIs" dxfId="37" priority="488" stopIfTrue="1" operator="lessThan">
      <formula>$M$5</formula>
    </cfRule>
  </conditionalFormatting>
  <conditionalFormatting sqref="N10">
    <cfRule type="cellIs" dxfId="36" priority="502" stopIfTrue="1" operator="greaterThan">
      <formula>$N$5</formula>
    </cfRule>
    <cfRule type="cellIs" dxfId="35" priority="503" stopIfTrue="1" operator="lessThan">
      <formula>$N$5</formula>
    </cfRule>
  </conditionalFormatting>
  <conditionalFormatting sqref="P10">
    <cfRule type="cellIs" dxfId="34" priority="504" stopIfTrue="1" operator="greaterThan">
      <formula>$P$5</formula>
    </cfRule>
    <cfRule type="cellIs" dxfId="33" priority="505" stopIfTrue="1" operator="lessThan">
      <formula>$P$5</formula>
    </cfRule>
  </conditionalFormatting>
  <conditionalFormatting sqref="R5">
    <cfRule type="cellIs" dxfId="32" priority="506" stopIfTrue="1" operator="greaterThan">
      <formula>$R$5</formula>
    </cfRule>
    <cfRule type="cellIs" dxfId="31" priority="507" stopIfTrue="1" operator="lessThan">
      <formula>$R$5</formula>
    </cfRule>
  </conditionalFormatting>
  <conditionalFormatting sqref="O10">
    <cfRule type="cellIs" dxfId="30" priority="508" stopIfTrue="1" operator="lessThan">
      <formula>$O$5</formula>
    </cfRule>
    <cfRule type="cellIs" dxfId="29" priority="509" stopIfTrue="1" operator="greaterThanOrEqual">
      <formula>$O$5</formula>
    </cfRule>
  </conditionalFormatting>
  <conditionalFormatting sqref="Q10">
    <cfRule type="cellIs" dxfId="28" priority="510" stopIfTrue="1" operator="greaterThan">
      <formula>$Q$5</formula>
    </cfRule>
    <cfRule type="cellIs" dxfId="27" priority="511" stopIfTrue="1" operator="lessThanOrEqual">
      <formula>$Q$5</formula>
    </cfRule>
  </conditionalFormatting>
  <conditionalFormatting sqref="R10">
    <cfRule type="cellIs" dxfId="26" priority="512" stopIfTrue="1" operator="greaterThanOrEqual">
      <formula>$R$5</formula>
    </cfRule>
    <cfRule type="cellIs" dxfId="25" priority="513" stopIfTrue="1" operator="lessThan">
      <formula>$R$5</formula>
    </cfRule>
  </conditionalFormatting>
  <hyperlinks>
    <hyperlink ref="D10" location="台積電!company_2330" display="台積電!company_2330"/>
  </hyperlinks>
  <pageMargins left="0.75" right="0.75" top="1" bottom="1" header="0.5" footer="0.5"/>
  <pageSetup orientation="portrait" horizontalDpi="300" verticalDpi="300" r:id="rId1"/>
  <headerFooter alignWithMargins="0"/>
  <legacyDrawing r:id="rId2"/>
</worksheet>
</file>

<file path=xl/worksheets/sheet3.xml><?xml version="1.0" encoding="utf-8"?>
<worksheet xmlns="http://schemas.openxmlformats.org/spreadsheetml/2006/main" xmlns:r="http://schemas.openxmlformats.org/officeDocument/2006/relationships">
  <sheetPr codeName="Sheet4"/>
  <dimension ref="A1:BC40"/>
  <sheetViews>
    <sheetView zoomScale="75" workbookViewId="0">
      <selection sqref="A1:IV65536"/>
    </sheetView>
  </sheetViews>
  <sheetFormatPr defaultRowHeight="16.2"/>
  <cols>
    <col min="1" max="1" width="19.109375" bestFit="1" customWidth="1"/>
    <col min="2" max="2" width="12.33203125" bestFit="1" customWidth="1"/>
    <col min="3" max="3" width="12.88671875" bestFit="1" customWidth="1"/>
    <col min="4" max="4" width="12.33203125" bestFit="1" customWidth="1"/>
    <col min="5" max="5" width="24.77734375" bestFit="1" customWidth="1"/>
    <col min="6" max="6" width="10.44140625" bestFit="1" customWidth="1"/>
    <col min="7" max="7" width="0.88671875" customWidth="1"/>
    <col min="8" max="8" width="10.21875" bestFit="1" customWidth="1"/>
    <col min="9" max="9" width="10.33203125" bestFit="1" customWidth="1"/>
    <col min="10" max="11" width="8.21875" bestFit="1" customWidth="1"/>
    <col min="19" max="19" width="0.88671875" hidden="1" customWidth="1"/>
    <col min="20" max="20" width="6.5546875" hidden="1" customWidth="1"/>
    <col min="21" max="24" width="12.33203125" hidden="1" customWidth="1"/>
    <col min="25" max="25" width="6.5546875" hidden="1" customWidth="1"/>
    <col min="26" max="26" width="1.44140625" hidden="1" customWidth="1"/>
    <col min="27" max="27" width="15.33203125" hidden="1" customWidth="1"/>
    <col min="28" max="28" width="19.6640625" hidden="1" customWidth="1"/>
    <col min="29" max="31" width="6" hidden="1" customWidth="1"/>
    <col min="32" max="32" width="6.88671875" hidden="1" customWidth="1"/>
    <col min="33" max="33" width="6.109375" hidden="1" customWidth="1"/>
    <col min="34" max="37" width="6" hidden="1" customWidth="1"/>
    <col min="38" max="38" width="11.109375" hidden="1" customWidth="1"/>
    <col min="39" max="39" width="1.6640625" hidden="1" customWidth="1"/>
    <col min="40" max="40" width="23.6640625" hidden="1" customWidth="1"/>
    <col min="41" max="41" width="43.77734375" hidden="1" customWidth="1"/>
    <col min="42" max="42" width="21.6640625" hidden="1" customWidth="1"/>
    <col min="43" max="43" width="9.6640625" hidden="1" customWidth="1"/>
    <col min="44" max="44" width="20.21875" hidden="1" customWidth="1"/>
    <col min="45" max="45" width="7.33203125" hidden="1" customWidth="1"/>
    <col min="46" max="46" width="1.21875" hidden="1" customWidth="1"/>
    <col min="47" max="47" width="35.5546875" hidden="1" customWidth="1"/>
    <col min="48" max="48" width="9.6640625" hidden="1" customWidth="1"/>
    <col min="49" max="49" width="43.77734375" hidden="1" customWidth="1"/>
    <col min="50" max="50" width="20.21875" hidden="1" customWidth="1"/>
    <col min="51" max="51" width="9.6640625" hidden="1" customWidth="1"/>
    <col min="52" max="52" width="20.21875" hidden="1" customWidth="1"/>
    <col min="53" max="55" width="9.6640625" hidden="1" customWidth="1"/>
  </cols>
  <sheetData>
    <row r="1" spans="1:55" ht="16.8" thickTop="1">
      <c r="A1" s="40" t="s">
        <v>995</v>
      </c>
      <c r="B1" s="21">
        <v>2330</v>
      </c>
      <c r="C1" s="41" t="s">
        <v>1024</v>
      </c>
      <c r="D1" s="77">
        <f>AC6</f>
        <v>79.3</v>
      </c>
      <c r="E1" s="41" t="s">
        <v>1166</v>
      </c>
      <c r="F1" s="117">
        <f>AW17</f>
        <v>2591.41</v>
      </c>
      <c r="G1" s="9"/>
      <c r="H1" s="173" t="s">
        <v>1043</v>
      </c>
      <c r="I1" s="174"/>
      <c r="J1" s="174"/>
      <c r="K1" s="174"/>
      <c r="L1" s="174"/>
      <c r="M1" s="174"/>
      <c r="N1" s="174"/>
      <c r="O1" s="174"/>
      <c r="P1" s="174"/>
      <c r="Q1" s="174"/>
      <c r="R1" s="175"/>
      <c r="T1" s="173" t="s">
        <v>1036</v>
      </c>
      <c r="U1" s="174"/>
      <c r="V1" s="174"/>
      <c r="W1" s="174"/>
      <c r="X1" s="174"/>
      <c r="Y1" s="175"/>
      <c r="AA1" s="181" t="s">
        <v>1161</v>
      </c>
      <c r="AB1" s="182"/>
      <c r="AC1" s="182"/>
      <c r="AD1" s="182"/>
      <c r="AE1" s="182"/>
      <c r="AF1" s="182"/>
      <c r="AG1" s="182"/>
      <c r="AH1" s="182"/>
      <c r="AI1" s="182"/>
      <c r="AJ1" s="182"/>
      <c r="AK1" s="182"/>
      <c r="AL1" s="183"/>
      <c r="AN1" s="181" t="s">
        <v>1162</v>
      </c>
      <c r="AO1" s="182"/>
      <c r="AP1" s="182"/>
      <c r="AQ1" s="182"/>
      <c r="AR1" s="182"/>
      <c r="AS1" s="183"/>
      <c r="AU1" s="190" t="s">
        <v>1163</v>
      </c>
      <c r="AV1" s="191"/>
      <c r="AW1" s="191"/>
      <c r="AX1" s="191"/>
      <c r="AY1" s="191"/>
      <c r="AZ1" s="191"/>
      <c r="BA1" s="191"/>
      <c r="BB1" s="191"/>
      <c r="BC1" s="192"/>
    </row>
    <row r="2" spans="1:55" ht="16.8" thickBot="1">
      <c r="A2" s="47" t="s">
        <v>994</v>
      </c>
      <c r="B2" s="50" t="str">
        <f>MID(AA6,5,10)</f>
        <v>台積電</v>
      </c>
      <c r="C2" s="48" t="s">
        <v>1025</v>
      </c>
      <c r="D2" s="84" t="str">
        <f>AF6</f>
        <v xml:space="preserve">▽0.7 </v>
      </c>
      <c r="E2" s="48" t="s">
        <v>1164</v>
      </c>
      <c r="F2" s="89">
        <f>AY10</f>
        <v>24.3</v>
      </c>
      <c r="G2" s="9"/>
      <c r="H2" s="163" t="s">
        <v>1040</v>
      </c>
      <c r="I2" s="151"/>
      <c r="J2" s="151"/>
      <c r="K2" s="151"/>
      <c r="L2" s="12"/>
      <c r="M2" s="12"/>
      <c r="N2" s="12"/>
      <c r="O2" s="12"/>
      <c r="P2" s="12"/>
      <c r="Q2" s="54"/>
      <c r="R2" s="55"/>
      <c r="T2" s="22" t="s">
        <v>996</v>
      </c>
      <c r="U2" s="14" t="s">
        <v>997</v>
      </c>
      <c r="V2" s="14" t="s">
        <v>998</v>
      </c>
      <c r="W2" s="14" t="s">
        <v>999</v>
      </c>
      <c r="X2" s="14" t="s">
        <v>1000</v>
      </c>
      <c r="Y2" s="23" t="s">
        <v>1001</v>
      </c>
      <c r="AA2" s="52"/>
      <c r="AB2" s="106" t="s">
        <v>1211</v>
      </c>
      <c r="AC2" s="184"/>
      <c r="AD2" s="185"/>
      <c r="AE2" s="185"/>
      <c r="AF2" s="185"/>
      <c r="AG2" s="185"/>
      <c r="AH2" s="185"/>
      <c r="AI2" s="185"/>
      <c r="AJ2" s="185"/>
      <c r="AK2" s="185"/>
      <c r="AL2" s="186"/>
      <c r="AN2" s="22" t="s">
        <v>1044</v>
      </c>
      <c r="AO2" s="14"/>
      <c r="AP2" s="14"/>
      <c r="AQ2" s="14"/>
      <c r="AR2" s="14"/>
      <c r="AS2" s="23"/>
      <c r="AU2" s="22" t="s">
        <v>1110</v>
      </c>
      <c r="AV2" s="14"/>
      <c r="AW2" s="14"/>
      <c r="AX2" s="14"/>
      <c r="AY2" s="14"/>
      <c r="AZ2" s="14"/>
      <c r="BA2" s="14"/>
      <c r="BB2" s="14"/>
      <c r="BC2" s="23"/>
    </row>
    <row r="3" spans="1:55" ht="17.399999999999999" thickTop="1" thickBot="1">
      <c r="A3" s="158" t="str">
        <f>AP3</f>
        <v>股東會及 100年配股</v>
      </c>
      <c r="B3" s="159"/>
      <c r="C3" s="159"/>
      <c r="D3" s="160"/>
      <c r="E3" s="161" t="str">
        <f>AN17</f>
        <v>營業毛利率</v>
      </c>
      <c r="F3" s="162"/>
      <c r="G3" s="9"/>
      <c r="H3" s="22" t="s">
        <v>1042</v>
      </c>
      <c r="I3" s="16" t="s">
        <v>1037</v>
      </c>
      <c r="J3" s="51" t="s">
        <v>1038</v>
      </c>
      <c r="K3" s="20" t="s">
        <v>1039</v>
      </c>
      <c r="L3" s="12"/>
      <c r="M3" s="12"/>
      <c r="N3" s="12"/>
      <c r="O3" s="12"/>
      <c r="P3" s="12"/>
      <c r="Q3" s="12"/>
      <c r="R3" s="55"/>
      <c r="T3" s="24">
        <v>100</v>
      </c>
      <c r="U3" s="106">
        <v>3</v>
      </c>
      <c r="V3" s="8">
        <v>0</v>
      </c>
      <c r="W3" s="8">
        <v>0</v>
      </c>
      <c r="X3" s="8">
        <v>0</v>
      </c>
      <c r="Y3" s="25">
        <v>3</v>
      </c>
      <c r="AA3" s="53"/>
      <c r="AB3" s="13"/>
      <c r="AC3" s="187"/>
      <c r="AD3" s="188"/>
      <c r="AE3" s="188"/>
      <c r="AF3" s="188"/>
      <c r="AG3" s="188"/>
      <c r="AH3" s="188"/>
      <c r="AI3" s="188"/>
      <c r="AJ3" s="188"/>
      <c r="AK3" s="188"/>
      <c r="AL3" s="189"/>
      <c r="AN3" s="22" t="s">
        <v>1045</v>
      </c>
      <c r="AO3" s="14"/>
      <c r="AP3" s="14" t="s">
        <v>1046</v>
      </c>
      <c r="AQ3" s="14"/>
      <c r="AR3" s="14"/>
      <c r="AS3" s="23"/>
      <c r="AU3" s="22" t="s">
        <v>1212</v>
      </c>
      <c r="AV3" s="14"/>
      <c r="AW3" s="14"/>
      <c r="AX3" s="14"/>
      <c r="AY3" s="14"/>
      <c r="AZ3" s="14"/>
      <c r="BA3" s="14"/>
      <c r="BB3" s="14"/>
      <c r="BC3" s="23"/>
    </row>
    <row r="4" spans="1:55" ht="16.8" thickTop="1">
      <c r="A4" s="45" t="str">
        <f>AP8</f>
        <v>股東會日期</v>
      </c>
      <c r="B4" s="49" t="str">
        <f>AQ8</f>
        <v>101/06/12</v>
      </c>
      <c r="C4" s="10" t="str">
        <f>AN24</f>
        <v>最後過戶日</v>
      </c>
      <c r="D4" s="23" t="str">
        <f>AO23</f>
        <v>-</v>
      </c>
      <c r="E4" s="86" t="s">
        <v>1105</v>
      </c>
      <c r="F4" s="87">
        <f>AY17</f>
        <v>0.439</v>
      </c>
      <c r="G4" s="9"/>
      <c r="H4" s="142">
        <v>1</v>
      </c>
      <c r="I4" s="16">
        <f>16*H4</f>
        <v>16</v>
      </c>
      <c r="J4" s="51">
        <f>20*H4</f>
        <v>20</v>
      </c>
      <c r="K4" s="20">
        <f>32*H4</f>
        <v>32</v>
      </c>
      <c r="L4" s="12"/>
      <c r="M4" s="12"/>
      <c r="N4" s="12"/>
      <c r="O4" s="12"/>
      <c r="P4" s="12"/>
      <c r="Q4" s="12"/>
      <c r="R4" s="55"/>
      <c r="T4" s="22">
        <v>99</v>
      </c>
      <c r="U4" s="16">
        <v>3</v>
      </c>
      <c r="V4" s="14">
        <v>0</v>
      </c>
      <c r="W4" s="14">
        <v>0</v>
      </c>
      <c r="X4" s="14">
        <v>0</v>
      </c>
      <c r="Y4" s="23">
        <v>3</v>
      </c>
      <c r="AA4" s="22" t="s">
        <v>1002</v>
      </c>
      <c r="AB4" s="14" t="s">
        <v>1004</v>
      </c>
      <c r="AC4" s="14" t="s">
        <v>1005</v>
      </c>
      <c r="AD4" s="14" t="s">
        <v>1006</v>
      </c>
      <c r="AE4" s="14" t="s">
        <v>1007</v>
      </c>
      <c r="AF4" s="14" t="s">
        <v>1008</v>
      </c>
      <c r="AG4" s="14" t="s">
        <v>1009</v>
      </c>
      <c r="AH4" s="14" t="s">
        <v>1010</v>
      </c>
      <c r="AI4" s="14" t="s">
        <v>1011</v>
      </c>
      <c r="AJ4" s="14" t="s">
        <v>1012</v>
      </c>
      <c r="AK4" s="14" t="s">
        <v>1013</v>
      </c>
      <c r="AL4" s="23" t="s">
        <v>1014</v>
      </c>
      <c r="AN4" s="22" t="s">
        <v>1047</v>
      </c>
      <c r="AO4" s="14" t="s">
        <v>1048</v>
      </c>
      <c r="AP4" s="106" t="s">
        <v>1029</v>
      </c>
      <c r="AQ4" s="106" t="s">
        <v>1049</v>
      </c>
      <c r="AR4" s="14"/>
      <c r="AS4" s="23"/>
      <c r="AU4" s="22" t="s">
        <v>1111</v>
      </c>
      <c r="AV4" s="14"/>
      <c r="AW4" s="14">
        <v>79.099999999999994</v>
      </c>
      <c r="AX4" s="14" t="s">
        <v>1112</v>
      </c>
      <c r="AY4" s="14">
        <v>79.599999999999994</v>
      </c>
      <c r="AZ4" s="14" t="s">
        <v>1113</v>
      </c>
      <c r="BA4" s="14">
        <v>79.099999999999994</v>
      </c>
      <c r="BB4" s="106" t="s">
        <v>1114</v>
      </c>
      <c r="BC4" s="110">
        <v>79.3</v>
      </c>
    </row>
    <row r="5" spans="1:55">
      <c r="A5" s="45" t="str">
        <f>AP4</f>
        <v>現金股利</v>
      </c>
      <c r="B5" s="49">
        <f>BA17</f>
        <v>3</v>
      </c>
      <c r="C5" s="10" t="str">
        <f>AP23</f>
        <v>除息日期</v>
      </c>
      <c r="D5" s="23" t="str">
        <f>AQ23</f>
        <v>-</v>
      </c>
      <c r="E5" s="22" t="s">
        <v>1216</v>
      </c>
      <c r="F5" s="65">
        <f>AY21</f>
        <v>5.0999999999999997E-2</v>
      </c>
      <c r="G5" s="9"/>
      <c r="H5" s="45" t="s">
        <v>1030</v>
      </c>
      <c r="I5" s="58">
        <f>$U$3*I4</f>
        <v>48</v>
      </c>
      <c r="J5" s="59">
        <f>$U$3*J4</f>
        <v>60</v>
      </c>
      <c r="K5" s="60">
        <f>$U$3*K4</f>
        <v>96</v>
      </c>
      <c r="L5" s="12"/>
      <c r="M5" s="12"/>
      <c r="N5" s="12"/>
      <c r="O5" s="12"/>
      <c r="P5" s="12"/>
      <c r="Q5" s="12"/>
      <c r="R5" s="55"/>
      <c r="T5" s="24">
        <v>98</v>
      </c>
      <c r="U5" s="106">
        <v>3</v>
      </c>
      <c r="V5" s="8">
        <v>0</v>
      </c>
      <c r="W5" s="8">
        <v>0</v>
      </c>
      <c r="X5" s="8">
        <v>0</v>
      </c>
      <c r="Y5" s="25">
        <v>3</v>
      </c>
      <c r="AA5" s="22" t="s">
        <v>1003</v>
      </c>
      <c r="AB5" s="92"/>
      <c r="AC5" s="93"/>
      <c r="AD5" s="93"/>
      <c r="AE5" s="93"/>
      <c r="AF5" s="93"/>
      <c r="AG5" s="93"/>
      <c r="AH5" s="93"/>
      <c r="AI5" s="93"/>
      <c r="AJ5" s="93"/>
      <c r="AK5" s="93"/>
      <c r="AL5" s="94"/>
      <c r="AN5" s="22" t="s">
        <v>1050</v>
      </c>
      <c r="AO5" s="111">
        <v>27811</v>
      </c>
      <c r="AP5" s="14" t="s">
        <v>1031</v>
      </c>
      <c r="AQ5" s="14" t="s">
        <v>1051</v>
      </c>
      <c r="AR5" s="14"/>
      <c r="AS5" s="23"/>
      <c r="AU5" s="22" t="s">
        <v>1008</v>
      </c>
      <c r="AV5" s="14"/>
      <c r="AW5" s="14">
        <v>-0.7</v>
      </c>
      <c r="AX5" s="14" t="s">
        <v>1115</v>
      </c>
      <c r="AY5" s="14">
        <v>81.099999999999994</v>
      </c>
      <c r="AZ5" s="14" t="s">
        <v>1116</v>
      </c>
      <c r="BA5" s="14">
        <v>62.2</v>
      </c>
      <c r="BB5" s="14"/>
      <c r="BC5" s="23"/>
    </row>
    <row r="6" spans="1:55">
      <c r="A6" s="45" t="str">
        <f>AP5</f>
        <v>股票股利</v>
      </c>
      <c r="B6" s="10" t="str">
        <f>AQ5</f>
        <v>-</v>
      </c>
      <c r="C6" s="10" t="s">
        <v>1165</v>
      </c>
      <c r="D6" s="114">
        <f>VLOOKUP(B1,可扣抵稅率比率表!B4:J986,3,0)</f>
        <v>4.7E-2</v>
      </c>
      <c r="E6" s="22" t="s">
        <v>1167</v>
      </c>
      <c r="F6" s="116">
        <f>D1/VALUE(LEFT(F2,5))</f>
        <v>3.2633744855967075</v>
      </c>
      <c r="G6" s="9"/>
      <c r="H6" s="45" t="s">
        <v>1026</v>
      </c>
      <c r="I6" s="58">
        <f>B36*I4</f>
        <v>48</v>
      </c>
      <c r="J6" s="59">
        <f>B36*J4</f>
        <v>60</v>
      </c>
      <c r="K6" s="60">
        <f>B36*K4</f>
        <v>96</v>
      </c>
      <c r="L6" s="12"/>
      <c r="M6" s="12"/>
      <c r="N6" s="12"/>
      <c r="O6" s="12"/>
      <c r="P6" s="12"/>
      <c r="Q6" s="12"/>
      <c r="R6" s="55"/>
      <c r="T6" s="22">
        <v>97</v>
      </c>
      <c r="U6" s="16">
        <v>3</v>
      </c>
      <c r="V6" s="14">
        <v>0.02</v>
      </c>
      <c r="W6" s="14">
        <v>0.03</v>
      </c>
      <c r="X6" s="14">
        <v>0.05</v>
      </c>
      <c r="Y6" s="23">
        <v>3.05</v>
      </c>
      <c r="AA6" s="107" t="s">
        <v>1015</v>
      </c>
      <c r="AB6" s="108">
        <v>0.60416666666666663</v>
      </c>
      <c r="AC6" s="106">
        <v>79.3</v>
      </c>
      <c r="AD6" s="106">
        <v>79.3</v>
      </c>
      <c r="AE6" s="106">
        <v>79.400000000000006</v>
      </c>
      <c r="AF6" s="106" t="s">
        <v>1217</v>
      </c>
      <c r="AG6" s="109">
        <v>7314</v>
      </c>
      <c r="AH6" s="106">
        <v>80</v>
      </c>
      <c r="AI6" s="106">
        <v>79.099999999999994</v>
      </c>
      <c r="AJ6" s="106">
        <v>79.599999999999994</v>
      </c>
      <c r="AK6" s="106">
        <v>79.099999999999994</v>
      </c>
      <c r="AL6" s="110" t="s">
        <v>1017</v>
      </c>
      <c r="AN6" s="22" t="s">
        <v>1052</v>
      </c>
      <c r="AO6" s="111">
        <v>30564</v>
      </c>
      <c r="AP6" s="14" t="s">
        <v>1053</v>
      </c>
      <c r="AQ6" s="14" t="s">
        <v>1051</v>
      </c>
      <c r="AR6" s="14"/>
      <c r="AS6" s="23"/>
      <c r="AU6" s="107" t="s">
        <v>1117</v>
      </c>
      <c r="AV6" s="106"/>
      <c r="AW6" s="106">
        <v>14.34</v>
      </c>
      <c r="AX6" s="14" t="s">
        <v>1118</v>
      </c>
      <c r="AY6" s="90">
        <v>147548</v>
      </c>
      <c r="AZ6" s="14" t="s">
        <v>1119</v>
      </c>
      <c r="BA6" s="90">
        <v>7342</v>
      </c>
      <c r="BB6" s="14" t="s">
        <v>1120</v>
      </c>
      <c r="BC6" s="115">
        <v>7349</v>
      </c>
    </row>
    <row r="7" spans="1:55">
      <c r="A7" s="45" t="str">
        <f>AP6</f>
        <v>盈餘配股</v>
      </c>
      <c r="B7" s="10" t="str">
        <f>AQ6</f>
        <v>-</v>
      </c>
      <c r="C7" s="10"/>
      <c r="D7" s="23"/>
      <c r="E7" s="22" t="s">
        <v>1108</v>
      </c>
      <c r="F7" s="85">
        <f>AW6</f>
        <v>14.34</v>
      </c>
      <c r="G7" s="9"/>
      <c r="H7" s="45" t="s">
        <v>1027</v>
      </c>
      <c r="I7" s="58">
        <f>B37*I4</f>
        <v>48.095999999999997</v>
      </c>
      <c r="J7" s="59">
        <f>B37*J4</f>
        <v>60.12</v>
      </c>
      <c r="K7" s="60">
        <f>B37*K4</f>
        <v>96.191999999999993</v>
      </c>
      <c r="L7" s="12"/>
      <c r="M7" s="12"/>
      <c r="N7" s="12"/>
      <c r="O7" s="12"/>
      <c r="P7" s="12"/>
      <c r="Q7" s="12"/>
      <c r="R7" s="55"/>
      <c r="T7" s="24">
        <v>96</v>
      </c>
      <c r="U7" s="106">
        <v>3.03</v>
      </c>
      <c r="V7" s="8">
        <v>0.02</v>
      </c>
      <c r="W7" s="8">
        <v>0.03</v>
      </c>
      <c r="X7" s="8">
        <v>0.05</v>
      </c>
      <c r="Y7" s="25">
        <v>3.08</v>
      </c>
      <c r="AA7" s="22" t="s">
        <v>1016</v>
      </c>
      <c r="AB7" s="98"/>
      <c r="AC7" s="91"/>
      <c r="AD7" s="91"/>
      <c r="AE7" s="91"/>
      <c r="AF7" s="91"/>
      <c r="AG7" s="91"/>
      <c r="AH7" s="91"/>
      <c r="AI7" s="91"/>
      <c r="AJ7" s="91"/>
      <c r="AK7" s="101"/>
      <c r="AL7" s="23" t="s">
        <v>1018</v>
      </c>
      <c r="AN7" s="22" t="s">
        <v>1054</v>
      </c>
      <c r="AO7" s="14" t="s">
        <v>1055</v>
      </c>
      <c r="AP7" s="14" t="s">
        <v>1056</v>
      </c>
      <c r="AQ7" s="14" t="s">
        <v>1051</v>
      </c>
      <c r="AR7" s="14"/>
      <c r="AS7" s="23"/>
      <c r="AU7" s="22" t="s">
        <v>1121</v>
      </c>
      <c r="AV7" s="14"/>
      <c r="AW7" s="14">
        <v>30.34</v>
      </c>
      <c r="AX7" s="14" t="s">
        <v>1122</v>
      </c>
      <c r="AY7" s="14">
        <v>14.67</v>
      </c>
      <c r="AZ7" s="14" t="s">
        <v>1123</v>
      </c>
      <c r="BA7" s="14">
        <v>9.98</v>
      </c>
      <c r="BB7" s="14" t="s">
        <v>1124</v>
      </c>
      <c r="BC7" s="115">
        <v>7</v>
      </c>
    </row>
    <row r="8" spans="1:55" ht="16.8" thickBot="1">
      <c r="A8" s="47" t="str">
        <f>AP7</f>
        <v>公積配股</v>
      </c>
      <c r="B8" s="48" t="str">
        <f>AQ7</f>
        <v>-</v>
      </c>
      <c r="C8" s="48"/>
      <c r="D8" s="44"/>
      <c r="E8" s="42" t="s">
        <v>1109</v>
      </c>
      <c r="F8" s="66">
        <f>AY13</f>
        <v>0.17</v>
      </c>
      <c r="G8" s="9"/>
      <c r="H8" s="45" t="s">
        <v>1028</v>
      </c>
      <c r="I8" s="58">
        <f>B38*I4</f>
        <v>37.008000000000003</v>
      </c>
      <c r="J8" s="59">
        <f>B38*J4</f>
        <v>46.260000000000005</v>
      </c>
      <c r="K8" s="60">
        <f>B38*K4</f>
        <v>74.016000000000005</v>
      </c>
      <c r="L8" s="12"/>
      <c r="M8" s="12"/>
      <c r="N8" s="12"/>
      <c r="O8" s="12"/>
      <c r="P8" s="12"/>
      <c r="Q8" s="12"/>
      <c r="R8" s="55"/>
      <c r="T8" s="22">
        <v>95</v>
      </c>
      <c r="U8" s="16">
        <v>3</v>
      </c>
      <c r="V8" s="14">
        <v>0.02</v>
      </c>
      <c r="W8" s="14">
        <v>0.03</v>
      </c>
      <c r="X8" s="14">
        <v>0.05</v>
      </c>
      <c r="Y8" s="23">
        <v>3.05</v>
      </c>
      <c r="AA8" s="52"/>
      <c r="AB8" s="102"/>
      <c r="AC8" s="64"/>
      <c r="AD8" s="64"/>
      <c r="AE8" s="64"/>
      <c r="AF8" s="64"/>
      <c r="AG8" s="64"/>
      <c r="AH8" s="64"/>
      <c r="AI8" s="64"/>
      <c r="AJ8" s="64"/>
      <c r="AK8" s="103"/>
      <c r="AL8" s="23" t="s">
        <v>1019</v>
      </c>
      <c r="AN8" s="22" t="s">
        <v>1057</v>
      </c>
      <c r="AO8" s="14" t="s">
        <v>1055</v>
      </c>
      <c r="AP8" s="106" t="s">
        <v>1058</v>
      </c>
      <c r="AQ8" s="106" t="s">
        <v>1059</v>
      </c>
      <c r="AR8" s="14"/>
      <c r="AS8" s="23"/>
      <c r="AU8" s="22" t="s">
        <v>1125</v>
      </c>
      <c r="AV8" s="14"/>
      <c r="AW8" s="90">
        <v>2054992</v>
      </c>
      <c r="AX8" s="14" t="s">
        <v>1126</v>
      </c>
      <c r="AY8" s="90">
        <v>2101637</v>
      </c>
      <c r="AZ8" s="14" t="s">
        <v>1127</v>
      </c>
      <c r="BA8" s="90">
        <v>92816</v>
      </c>
      <c r="BB8" s="14"/>
      <c r="BC8" s="23"/>
    </row>
    <row r="9" spans="1:55" ht="16.8" thickTop="1">
      <c r="A9" s="67" t="s">
        <v>1033</v>
      </c>
      <c r="B9" s="68" t="s">
        <v>1030</v>
      </c>
      <c r="C9" s="68" t="s">
        <v>1026</v>
      </c>
      <c r="D9" s="68" t="s">
        <v>1027</v>
      </c>
      <c r="E9" s="68" t="s">
        <v>1028</v>
      </c>
      <c r="F9" s="69" t="s">
        <v>1034</v>
      </c>
      <c r="G9" s="9"/>
      <c r="H9" s="176"/>
      <c r="I9" s="177"/>
      <c r="J9" s="177"/>
      <c r="K9" s="177"/>
      <c r="L9" s="177"/>
      <c r="M9" s="177"/>
      <c r="N9" s="177"/>
      <c r="O9" s="177"/>
      <c r="P9" s="177"/>
      <c r="Q9" s="177"/>
      <c r="R9" s="178"/>
      <c r="T9" s="22">
        <v>94</v>
      </c>
      <c r="U9" s="16">
        <v>2.5</v>
      </c>
      <c r="V9" s="14">
        <v>0.15</v>
      </c>
      <c r="W9" s="14">
        <v>0.15</v>
      </c>
      <c r="X9" s="14">
        <v>0.3</v>
      </c>
      <c r="Y9" s="23">
        <v>2.8</v>
      </c>
      <c r="AA9" s="105"/>
      <c r="AB9" s="102"/>
      <c r="AC9" s="64"/>
      <c r="AD9" s="64"/>
      <c r="AE9" s="64"/>
      <c r="AF9" s="64"/>
      <c r="AG9" s="64"/>
      <c r="AH9" s="64"/>
      <c r="AI9" s="64"/>
      <c r="AJ9" s="64"/>
      <c r="AK9" s="103"/>
      <c r="AL9" s="23" t="s">
        <v>1020</v>
      </c>
      <c r="AN9" s="22" t="s">
        <v>1060</v>
      </c>
      <c r="AO9" s="14" t="s">
        <v>1061</v>
      </c>
      <c r="AP9" s="14"/>
      <c r="AQ9" s="14"/>
      <c r="AR9" s="14"/>
      <c r="AS9" s="23"/>
      <c r="AU9" s="22" t="s">
        <v>1213</v>
      </c>
      <c r="AV9" s="14"/>
      <c r="AW9" s="14"/>
      <c r="AX9" s="14" t="s">
        <v>1208</v>
      </c>
      <c r="AY9" s="14"/>
      <c r="AZ9" s="14" t="s">
        <v>1128</v>
      </c>
      <c r="BA9" s="14"/>
      <c r="BB9" s="14"/>
      <c r="BC9" s="23"/>
    </row>
    <row r="10" spans="1:55">
      <c r="A10" s="78" t="s">
        <v>1106</v>
      </c>
      <c r="B10" s="79">
        <f>U3/D1</f>
        <v>3.7831021437578813E-2</v>
      </c>
      <c r="C10" s="79">
        <f>B36/D1</f>
        <v>3.7831021437578813E-2</v>
      </c>
      <c r="D10" s="79">
        <f>B37/D1</f>
        <v>3.7906683480453972E-2</v>
      </c>
      <c r="E10" s="79">
        <f>B38/D1</f>
        <v>2.9167717528373268E-2</v>
      </c>
      <c r="F10" s="80">
        <f>B39/D1</f>
        <v>0</v>
      </c>
      <c r="G10" s="9"/>
      <c r="H10" s="179" t="s">
        <v>1041</v>
      </c>
      <c r="I10" s="180"/>
      <c r="J10" s="180"/>
      <c r="K10" s="180"/>
      <c r="L10" s="56"/>
      <c r="M10" s="56"/>
      <c r="N10" s="56"/>
      <c r="O10" s="56"/>
      <c r="P10" s="56"/>
      <c r="Q10" s="56"/>
      <c r="R10" s="57"/>
      <c r="T10" s="24">
        <v>93</v>
      </c>
      <c r="U10" s="106">
        <v>2</v>
      </c>
      <c r="V10" s="8">
        <v>0.5</v>
      </c>
      <c r="W10" s="8">
        <v>0</v>
      </c>
      <c r="X10" s="8">
        <v>0.5</v>
      </c>
      <c r="Y10" s="25">
        <v>2.5</v>
      </c>
      <c r="AA10" s="53"/>
      <c r="AB10" s="99"/>
      <c r="AC10" s="100"/>
      <c r="AD10" s="100"/>
      <c r="AE10" s="100"/>
      <c r="AF10" s="100"/>
      <c r="AG10" s="100"/>
      <c r="AH10" s="100"/>
      <c r="AI10" s="100"/>
      <c r="AJ10" s="100"/>
      <c r="AK10" s="104"/>
      <c r="AL10" s="23" t="s">
        <v>1021</v>
      </c>
      <c r="AN10" s="107" t="s">
        <v>1062</v>
      </c>
      <c r="AO10" s="106" t="s">
        <v>1063</v>
      </c>
      <c r="AP10" s="14"/>
      <c r="AQ10" s="14"/>
      <c r="AR10" s="14"/>
      <c r="AS10" s="23"/>
      <c r="AU10" s="22" t="s">
        <v>1129</v>
      </c>
      <c r="AV10" s="14"/>
      <c r="AW10" s="112">
        <v>5.5399999999999998E-2</v>
      </c>
      <c r="AX10" s="106" t="s">
        <v>1130</v>
      </c>
      <c r="AY10" s="106">
        <v>24.3</v>
      </c>
      <c r="AZ10" s="14" t="s">
        <v>1131</v>
      </c>
      <c r="BA10" s="14">
        <v>0.79</v>
      </c>
      <c r="BB10" s="14"/>
      <c r="BC10" s="23"/>
    </row>
    <row r="11" spans="1:55" ht="16.8" thickBot="1">
      <c r="A11" s="81" t="s">
        <v>1032</v>
      </c>
      <c r="B11" s="82">
        <f>X3/D1</f>
        <v>0</v>
      </c>
      <c r="C11" s="82">
        <f>C36/D1</f>
        <v>0</v>
      </c>
      <c r="D11" s="82">
        <f>C37/D1</f>
        <v>2.5220680958385876E-4</v>
      </c>
      <c r="E11" s="82">
        <f>C38/D1</f>
        <v>3.9848675914249685E-3</v>
      </c>
      <c r="F11" s="80">
        <f>C39/D1</f>
        <v>0</v>
      </c>
      <c r="G11" s="9"/>
      <c r="H11" s="22" t="s">
        <v>1042</v>
      </c>
      <c r="I11" s="16" t="s">
        <v>1037</v>
      </c>
      <c r="J11" s="51" t="s">
        <v>1038</v>
      </c>
      <c r="K11" s="20" t="s">
        <v>1039</v>
      </c>
      <c r="L11" s="56"/>
      <c r="M11" s="56"/>
      <c r="N11" s="56"/>
      <c r="O11" s="56"/>
      <c r="P11" s="56"/>
      <c r="Q11" s="56"/>
      <c r="R11" s="57"/>
      <c r="T11" s="22">
        <v>92</v>
      </c>
      <c r="U11" s="16">
        <v>0.6</v>
      </c>
      <c r="V11" s="14">
        <v>1.41</v>
      </c>
      <c r="W11" s="14">
        <v>0</v>
      </c>
      <c r="X11" s="14">
        <v>1.41</v>
      </c>
      <c r="Y11" s="23">
        <v>2.0099999999999998</v>
      </c>
      <c r="AA11" s="42" t="s">
        <v>1022</v>
      </c>
      <c r="AB11" s="95" t="s">
        <v>1023</v>
      </c>
      <c r="AC11" s="96"/>
      <c r="AD11" s="96"/>
      <c r="AE11" s="96"/>
      <c r="AF11" s="96"/>
      <c r="AG11" s="96"/>
      <c r="AH11" s="96"/>
      <c r="AI11" s="96"/>
      <c r="AJ11" s="96"/>
      <c r="AK11" s="96"/>
      <c r="AL11" s="97"/>
      <c r="AN11" s="22" t="s">
        <v>1064</v>
      </c>
      <c r="AO11" s="14" t="s">
        <v>1065</v>
      </c>
      <c r="AP11" s="14"/>
      <c r="AQ11" s="14"/>
      <c r="AR11" s="14"/>
      <c r="AS11" s="23"/>
      <c r="AU11" s="22" t="s">
        <v>1132</v>
      </c>
      <c r="AV11" s="14"/>
      <c r="AW11" s="112">
        <v>1.14E-2</v>
      </c>
      <c r="AX11" s="14" t="s">
        <v>1133</v>
      </c>
      <c r="AY11" s="90">
        <v>3422</v>
      </c>
      <c r="AZ11" s="14" t="s">
        <v>1134</v>
      </c>
      <c r="BA11" s="112">
        <v>1.47E-2</v>
      </c>
      <c r="BB11" s="14"/>
      <c r="BC11" s="23"/>
    </row>
    <row r="12" spans="1:55" ht="17.399999999999999" thickTop="1" thickBot="1">
      <c r="A12" s="81" t="s">
        <v>1107</v>
      </c>
      <c r="B12" s="82">
        <f>Y3/D1</f>
        <v>3.7831021437578813E-2</v>
      </c>
      <c r="C12" s="82">
        <f>D36/D1</f>
        <v>3.7831021437578813E-2</v>
      </c>
      <c r="D12" s="82">
        <f>D37/D1</f>
        <v>3.8158890290037835E-2</v>
      </c>
      <c r="E12" s="82">
        <f>D38/D1</f>
        <v>3.3152585119798239E-2</v>
      </c>
      <c r="F12" s="83">
        <f>D39/D1</f>
        <v>1.0088272383354352E-2</v>
      </c>
      <c r="G12" s="9"/>
      <c r="H12" s="142">
        <v>1</v>
      </c>
      <c r="I12" s="61">
        <f>16*H12</f>
        <v>16</v>
      </c>
      <c r="J12" s="62">
        <f>20*H12</f>
        <v>20</v>
      </c>
      <c r="K12" s="63">
        <f>32*H12</f>
        <v>32</v>
      </c>
      <c r="L12" s="56"/>
      <c r="M12" s="56"/>
      <c r="N12" s="56"/>
      <c r="O12" s="56"/>
      <c r="P12" s="56"/>
      <c r="Q12" s="56"/>
      <c r="R12" s="57"/>
      <c r="T12" s="138">
        <v>91</v>
      </c>
      <c r="U12" s="139">
        <v>0</v>
      </c>
      <c r="V12" s="140">
        <v>0.8</v>
      </c>
      <c r="W12" s="140">
        <v>0</v>
      </c>
      <c r="X12" s="140">
        <v>0.8</v>
      </c>
      <c r="Y12" s="141">
        <v>0.8</v>
      </c>
      <c r="AN12" s="22" t="s">
        <v>1066</v>
      </c>
      <c r="AO12" s="14" t="s">
        <v>1067</v>
      </c>
      <c r="AP12" s="14"/>
      <c r="AQ12" s="14"/>
      <c r="AR12" s="14"/>
      <c r="AS12" s="23"/>
      <c r="AU12" s="22" t="s">
        <v>1135</v>
      </c>
      <c r="AV12" s="14"/>
      <c r="AW12" s="112">
        <v>4.99E-2</v>
      </c>
      <c r="AX12" s="14" t="s">
        <v>1136</v>
      </c>
      <c r="AY12" s="14">
        <v>4</v>
      </c>
      <c r="AZ12" s="14"/>
      <c r="BA12" s="14"/>
      <c r="BB12" s="14"/>
      <c r="BC12" s="23"/>
    </row>
    <row r="13" spans="1:55" ht="16.8" thickTop="1">
      <c r="A13" s="70"/>
      <c r="B13" s="11"/>
      <c r="C13" s="125" t="s">
        <v>1177</v>
      </c>
      <c r="D13" s="11"/>
      <c r="E13" s="11"/>
      <c r="F13" s="71"/>
      <c r="G13" s="9"/>
      <c r="H13" s="45" t="s">
        <v>1030</v>
      </c>
      <c r="I13" s="58">
        <f>$Y$3*I12</f>
        <v>48</v>
      </c>
      <c r="J13" s="59">
        <f>$Y$3*J12</f>
        <v>60</v>
      </c>
      <c r="K13" s="60">
        <f>$Y$3*K12</f>
        <v>96</v>
      </c>
      <c r="L13" s="56"/>
      <c r="M13" s="56"/>
      <c r="N13" s="56"/>
      <c r="O13" s="56"/>
      <c r="P13" s="56"/>
      <c r="Q13" s="56"/>
      <c r="R13" s="57"/>
      <c r="AB13" t="str">
        <f>IF(LEFT(AF6,1)="▽","-"&amp;MID(AF6,2,4),AF6)</f>
        <v xml:space="preserve">-0.7 </v>
      </c>
      <c r="AN13" s="22" t="s">
        <v>1068</v>
      </c>
      <c r="AO13" s="14" t="s">
        <v>1069</v>
      </c>
      <c r="AP13" s="14"/>
      <c r="AQ13" s="14"/>
      <c r="AR13" s="14"/>
      <c r="AS13" s="23"/>
      <c r="AU13" s="22" t="s">
        <v>1137</v>
      </c>
      <c r="AV13" s="14"/>
      <c r="AW13" s="112">
        <v>5.6800000000000003E-2</v>
      </c>
      <c r="AX13" s="106" t="s">
        <v>1138</v>
      </c>
      <c r="AY13" s="119">
        <v>0.17</v>
      </c>
      <c r="AZ13" s="14"/>
      <c r="BA13" s="14"/>
      <c r="BB13" s="14"/>
      <c r="BC13" s="23"/>
    </row>
    <row r="14" spans="1:55">
      <c r="A14" s="72"/>
      <c r="B14" s="73"/>
      <c r="C14" s="73"/>
      <c r="D14" s="73"/>
      <c r="E14" s="73"/>
      <c r="F14" s="71"/>
      <c r="G14" s="9"/>
      <c r="H14" s="45" t="s">
        <v>1026</v>
      </c>
      <c r="I14" s="58">
        <f>D36*$I$12</f>
        <v>48</v>
      </c>
      <c r="J14" s="59">
        <f>D36*$J$12</f>
        <v>60</v>
      </c>
      <c r="K14" s="60">
        <f>D36*$K$12</f>
        <v>96</v>
      </c>
      <c r="L14" s="56"/>
      <c r="M14" s="56"/>
      <c r="N14" s="56"/>
      <c r="O14" s="56"/>
      <c r="P14" s="56"/>
      <c r="Q14" s="56"/>
      <c r="R14" s="57"/>
      <c r="AN14" s="22" t="s">
        <v>1070</v>
      </c>
      <c r="AO14" s="14" t="s">
        <v>1071</v>
      </c>
      <c r="AP14" s="14"/>
      <c r="AQ14" s="14"/>
      <c r="AR14" s="14"/>
      <c r="AS14" s="23"/>
      <c r="AU14" s="22" t="s">
        <v>1139</v>
      </c>
      <c r="AV14" s="14"/>
      <c r="AW14" s="112">
        <v>5.2600000000000001E-2</v>
      </c>
      <c r="AX14" s="106" t="s">
        <v>1140</v>
      </c>
      <c r="AY14" s="106">
        <v>3.26</v>
      </c>
      <c r="AZ14" s="14"/>
      <c r="BA14" s="14"/>
      <c r="BB14" s="14"/>
      <c r="BC14" s="23"/>
    </row>
    <row r="15" spans="1:55">
      <c r="A15" s="72"/>
      <c r="B15" s="73"/>
      <c r="C15" s="73"/>
      <c r="D15" s="73"/>
      <c r="E15" s="73"/>
      <c r="F15" s="71"/>
      <c r="G15" s="9"/>
      <c r="H15" s="45" t="s">
        <v>1027</v>
      </c>
      <c r="I15" s="58">
        <f>D37*$I$12</f>
        <v>48.416000000000004</v>
      </c>
      <c r="J15" s="59">
        <f>D37*$J$12</f>
        <v>60.52</v>
      </c>
      <c r="K15" s="60">
        <f>D37*$K$12</f>
        <v>96.832000000000008</v>
      </c>
      <c r="L15" s="56"/>
      <c r="M15" s="56"/>
      <c r="N15" s="56"/>
      <c r="O15" s="56"/>
      <c r="P15" s="56"/>
      <c r="Q15" s="56"/>
      <c r="R15" s="57"/>
      <c r="AN15" s="22" t="s">
        <v>1072</v>
      </c>
      <c r="AO15" s="14" t="s">
        <v>1073</v>
      </c>
      <c r="AP15" s="14"/>
      <c r="AQ15" s="14"/>
      <c r="AR15" s="14"/>
      <c r="AS15" s="23"/>
      <c r="AU15" s="22"/>
      <c r="AV15" s="14"/>
      <c r="AW15" s="14"/>
      <c r="AX15" s="14" t="s">
        <v>1141</v>
      </c>
      <c r="AY15" s="112">
        <v>6.1100000000000002E-2</v>
      </c>
      <c r="AZ15" s="14"/>
      <c r="BA15" s="14"/>
      <c r="BB15" s="14"/>
      <c r="BC15" s="23"/>
    </row>
    <row r="16" spans="1:55">
      <c r="A16" s="72"/>
      <c r="B16" s="73"/>
      <c r="C16" s="73"/>
      <c r="D16" s="73"/>
      <c r="E16" s="73"/>
      <c r="F16" s="71"/>
      <c r="G16" s="9"/>
      <c r="H16" s="45" t="s">
        <v>1028</v>
      </c>
      <c r="I16" s="58">
        <f>D38*$I$12</f>
        <v>42.064000000000007</v>
      </c>
      <c r="J16" s="59">
        <f>D38*$J$12</f>
        <v>52.580000000000013</v>
      </c>
      <c r="K16" s="60">
        <f>D38*$K$12</f>
        <v>84.128000000000014</v>
      </c>
      <c r="L16" s="56"/>
      <c r="M16" s="56"/>
      <c r="N16" s="56"/>
      <c r="O16" s="56"/>
      <c r="P16" s="56"/>
      <c r="Q16" s="56"/>
      <c r="R16" s="57"/>
      <c r="AN16" s="22" t="s">
        <v>1204</v>
      </c>
      <c r="AO16" s="14"/>
      <c r="AP16" s="106" t="s">
        <v>1074</v>
      </c>
      <c r="AQ16" s="106"/>
      <c r="AR16" s="106" t="s">
        <v>1075</v>
      </c>
      <c r="AS16" s="110"/>
      <c r="AU16" s="22" t="s">
        <v>1142</v>
      </c>
      <c r="AV16" s="14"/>
      <c r="AW16" s="14"/>
      <c r="AX16" s="14" t="s">
        <v>1209</v>
      </c>
      <c r="AY16" s="14"/>
      <c r="AZ16" s="14" t="s">
        <v>1143</v>
      </c>
      <c r="BA16" s="14"/>
      <c r="BB16" s="14"/>
      <c r="BC16" s="23"/>
    </row>
    <row r="17" spans="1:55" ht="16.8" thickBot="1">
      <c r="A17" s="72"/>
      <c r="B17" s="73"/>
      <c r="C17" s="73"/>
      <c r="D17" s="73"/>
      <c r="E17" s="73"/>
      <c r="F17" s="71"/>
      <c r="G17" s="9"/>
      <c r="H17" s="208"/>
      <c r="I17" s="209"/>
      <c r="J17" s="209"/>
      <c r="K17" s="209"/>
      <c r="L17" s="209"/>
      <c r="M17" s="209"/>
      <c r="N17" s="209"/>
      <c r="O17" s="209"/>
      <c r="P17" s="209"/>
      <c r="Q17" s="209"/>
      <c r="R17" s="210"/>
      <c r="AN17" s="24" t="s">
        <v>1076</v>
      </c>
      <c r="AO17" s="113">
        <v>0.43859999999999999</v>
      </c>
      <c r="AP17" s="106" t="s">
        <v>1205</v>
      </c>
      <c r="AQ17" s="106" t="s">
        <v>1206</v>
      </c>
      <c r="AR17" s="106" t="s">
        <v>1079</v>
      </c>
      <c r="AS17" s="110" t="s">
        <v>1080</v>
      </c>
      <c r="AU17" s="107" t="s">
        <v>1144</v>
      </c>
      <c r="AV17" s="106"/>
      <c r="AW17" s="118">
        <v>2591.41</v>
      </c>
      <c r="AX17" s="106" t="s">
        <v>1076</v>
      </c>
      <c r="AY17" s="113">
        <v>0.439</v>
      </c>
      <c r="AZ17" s="14" t="s">
        <v>1145</v>
      </c>
      <c r="BA17" s="14">
        <v>3</v>
      </c>
      <c r="BB17" s="14"/>
      <c r="BC17" s="23"/>
    </row>
    <row r="18" spans="1:55" ht="17.399999999999999" thickTop="1" thickBot="1">
      <c r="A18" s="72"/>
      <c r="B18" s="73"/>
      <c r="C18" s="73"/>
      <c r="D18" s="73"/>
      <c r="E18" s="73"/>
      <c r="F18" s="71"/>
      <c r="G18" s="9"/>
      <c r="AN18" s="24" t="s">
        <v>1081</v>
      </c>
      <c r="AO18" s="113">
        <v>0.31850000000000001</v>
      </c>
      <c r="AP18" s="106" t="s">
        <v>1077</v>
      </c>
      <c r="AQ18" s="106" t="s">
        <v>1078</v>
      </c>
      <c r="AR18" s="106" t="s">
        <v>1084</v>
      </c>
      <c r="AS18" s="110" t="s">
        <v>1085</v>
      </c>
      <c r="AU18" s="22" t="s">
        <v>1050</v>
      </c>
      <c r="AV18" s="14"/>
      <c r="AW18" s="111">
        <v>27811</v>
      </c>
      <c r="AX18" s="14" t="s">
        <v>1081</v>
      </c>
      <c r="AY18" s="112">
        <v>0.31900000000000001</v>
      </c>
      <c r="AZ18" s="14" t="s">
        <v>1031</v>
      </c>
      <c r="BA18" s="14">
        <v>0</v>
      </c>
      <c r="BB18" s="14"/>
      <c r="BC18" s="23"/>
    </row>
    <row r="19" spans="1:55" ht="16.8" thickTop="1">
      <c r="A19" s="72"/>
      <c r="B19" s="73"/>
      <c r="C19" s="73"/>
      <c r="D19" s="73"/>
      <c r="E19" s="73"/>
      <c r="F19" s="71"/>
      <c r="G19" s="9"/>
      <c r="H19" s="173" t="s">
        <v>1104</v>
      </c>
      <c r="I19" s="174"/>
      <c r="J19" s="174"/>
      <c r="K19" s="174"/>
      <c r="L19" s="174"/>
      <c r="M19" s="174"/>
      <c r="N19" s="174"/>
      <c r="O19" s="174"/>
      <c r="P19" s="174"/>
      <c r="Q19" s="174"/>
      <c r="R19" s="175"/>
      <c r="AN19" s="24" t="s">
        <v>1086</v>
      </c>
      <c r="AO19" s="113">
        <v>0.32590000000000002</v>
      </c>
      <c r="AP19" s="106" t="s">
        <v>1082</v>
      </c>
      <c r="AQ19" s="106" t="s">
        <v>1083</v>
      </c>
      <c r="AR19" s="106" t="s">
        <v>1089</v>
      </c>
      <c r="AS19" s="110" t="s">
        <v>1090</v>
      </c>
      <c r="AU19" s="22" t="s">
        <v>1146</v>
      </c>
      <c r="AV19" s="14"/>
      <c r="AW19" s="111">
        <v>30564</v>
      </c>
      <c r="AX19" s="14" t="s">
        <v>1086</v>
      </c>
      <c r="AY19" s="112">
        <v>0.32600000000000001</v>
      </c>
      <c r="AZ19" s="14" t="s">
        <v>1053</v>
      </c>
      <c r="BA19" s="14">
        <v>0</v>
      </c>
      <c r="BB19" s="14"/>
      <c r="BC19" s="23"/>
    </row>
    <row r="20" spans="1:55">
      <c r="A20" s="72"/>
      <c r="B20" s="73"/>
      <c r="C20" s="73"/>
      <c r="D20" s="73"/>
      <c r="E20" s="73"/>
      <c r="F20" s="71"/>
      <c r="G20" s="9"/>
      <c r="H20" s="163" t="str">
        <f>AP16</f>
        <v>最新四季每股盈餘</v>
      </c>
      <c r="I20" s="151"/>
      <c r="J20" s="164"/>
      <c r="K20" s="165"/>
      <c r="L20" s="165"/>
      <c r="M20" s="165"/>
      <c r="N20" s="165"/>
      <c r="O20" s="165"/>
      <c r="P20" s="165"/>
      <c r="Q20" s="165"/>
      <c r="R20" s="166"/>
      <c r="AN20" s="24" t="s">
        <v>1091</v>
      </c>
      <c r="AO20" s="113">
        <v>4.2599999999999999E-2</v>
      </c>
      <c r="AP20" s="106" t="s">
        <v>1087</v>
      </c>
      <c r="AQ20" s="106" t="s">
        <v>1088</v>
      </c>
      <c r="AR20" s="106" t="s">
        <v>1092</v>
      </c>
      <c r="AS20" s="110" t="s">
        <v>1093</v>
      </c>
      <c r="AU20" s="22" t="s">
        <v>1064</v>
      </c>
      <c r="AV20" s="14"/>
      <c r="AW20" s="14" t="s">
        <v>1065</v>
      </c>
      <c r="AX20" s="14" t="s">
        <v>1091</v>
      </c>
      <c r="AY20" s="112">
        <v>4.2999999999999997E-2</v>
      </c>
      <c r="AZ20" s="14" t="s">
        <v>1056</v>
      </c>
      <c r="BA20" s="14">
        <v>0</v>
      </c>
      <c r="BB20" s="14"/>
      <c r="BC20" s="23"/>
    </row>
    <row r="21" spans="1:55">
      <c r="A21" s="72"/>
      <c r="B21" s="73"/>
      <c r="C21" s="73"/>
      <c r="D21" s="73"/>
      <c r="E21" s="73"/>
      <c r="F21" s="71"/>
      <c r="G21" s="9"/>
      <c r="H21" s="22" t="str">
        <f>AP20</f>
        <v>100第1季</v>
      </c>
      <c r="I21" s="15">
        <f>VALUE(LEFT(AQ20,4))</f>
        <v>1.4</v>
      </c>
      <c r="J21" s="167"/>
      <c r="K21" s="168"/>
      <c r="L21" s="168"/>
      <c r="M21" s="168"/>
      <c r="N21" s="168"/>
      <c r="O21" s="168"/>
      <c r="P21" s="168"/>
      <c r="Q21" s="168"/>
      <c r="R21" s="169"/>
      <c r="AN21" s="24" t="s">
        <v>1094</v>
      </c>
      <c r="AO21" s="113">
        <v>5.1400000000000001E-2</v>
      </c>
      <c r="AP21" s="106" t="s">
        <v>1207</v>
      </c>
      <c r="AQ21" s="14"/>
      <c r="AR21" s="14"/>
      <c r="AS21" s="23"/>
      <c r="AU21" s="22" t="s">
        <v>1147</v>
      </c>
      <c r="AV21" s="14"/>
      <c r="AW21" s="14" t="s">
        <v>1055</v>
      </c>
      <c r="AX21" s="106" t="s">
        <v>1094</v>
      </c>
      <c r="AY21" s="113">
        <v>5.0999999999999997E-2</v>
      </c>
      <c r="AZ21" s="14" t="s">
        <v>1148</v>
      </c>
      <c r="BA21" s="14" t="s">
        <v>1149</v>
      </c>
      <c r="BB21" s="14"/>
      <c r="BC21" s="23"/>
    </row>
    <row r="22" spans="1:55" ht="16.8" thickBot="1">
      <c r="A22" s="74"/>
      <c r="B22" s="75"/>
      <c r="C22" s="75"/>
      <c r="D22" s="75"/>
      <c r="E22" s="75"/>
      <c r="F22" s="76"/>
      <c r="G22" s="9"/>
      <c r="H22" s="22" t="str">
        <f>AP19</f>
        <v>100第2季</v>
      </c>
      <c r="I22" s="15">
        <f>VALUE(LEFT(AQ19,4))</f>
        <v>1.39</v>
      </c>
      <c r="J22" s="167"/>
      <c r="K22" s="168"/>
      <c r="L22" s="168"/>
      <c r="M22" s="168"/>
      <c r="N22" s="168"/>
      <c r="O22" s="168"/>
      <c r="P22" s="168"/>
      <c r="Q22" s="168"/>
      <c r="R22" s="169"/>
      <c r="AN22" s="22" t="s">
        <v>1095</v>
      </c>
      <c r="AO22" s="14"/>
      <c r="AP22" s="14" t="s">
        <v>1096</v>
      </c>
      <c r="AQ22" s="14"/>
      <c r="AR22" s="14"/>
      <c r="AS22" s="23"/>
      <c r="AU22" s="22" t="s">
        <v>1150</v>
      </c>
      <c r="AV22" s="14"/>
      <c r="AW22" s="14" t="s">
        <v>1055</v>
      </c>
      <c r="AX22" s="14"/>
      <c r="AY22" s="14"/>
      <c r="AZ22" s="14" t="s">
        <v>1151</v>
      </c>
      <c r="BA22" s="14" t="s">
        <v>1149</v>
      </c>
      <c r="BB22" s="14"/>
      <c r="BC22" s="23"/>
    </row>
    <row r="23" spans="1:55" ht="17.399999999999999" thickTop="1" thickBot="1">
      <c r="A23" s="9"/>
      <c r="B23" s="9"/>
      <c r="C23" s="9"/>
      <c r="D23" s="9"/>
      <c r="E23" s="9"/>
      <c r="F23" s="9"/>
      <c r="H23" s="22" t="str">
        <f>AP18</f>
        <v>100第3季</v>
      </c>
      <c r="I23" s="15">
        <f>VALUE(LEFT(AQ18,4))</f>
        <v>1.17</v>
      </c>
      <c r="J23" s="167"/>
      <c r="K23" s="168"/>
      <c r="L23" s="168"/>
      <c r="M23" s="168"/>
      <c r="N23" s="168"/>
      <c r="O23" s="168"/>
      <c r="P23" s="168"/>
      <c r="Q23" s="168"/>
      <c r="R23" s="169"/>
      <c r="AN23" s="22" t="s">
        <v>1097</v>
      </c>
      <c r="AO23" s="14" t="s">
        <v>1051</v>
      </c>
      <c r="AP23" s="14" t="s">
        <v>1098</v>
      </c>
      <c r="AQ23" s="14" t="s">
        <v>1051</v>
      </c>
      <c r="AR23" s="14"/>
      <c r="AS23" s="23"/>
      <c r="AU23" s="22" t="s">
        <v>1152</v>
      </c>
      <c r="AV23" s="14"/>
      <c r="AW23" s="14" t="s">
        <v>1061</v>
      </c>
      <c r="AX23" s="14"/>
      <c r="AY23" s="14"/>
      <c r="AZ23" s="14" t="s">
        <v>1153</v>
      </c>
      <c r="BA23" s="14" t="s">
        <v>1149</v>
      </c>
      <c r="BB23" s="14"/>
      <c r="BC23" s="23"/>
    </row>
    <row r="24" spans="1:55" ht="16.8" thickTop="1">
      <c r="A24" s="173" t="s">
        <v>1036</v>
      </c>
      <c r="B24" s="174"/>
      <c r="C24" s="174"/>
      <c r="D24" s="175"/>
      <c r="E24" s="88"/>
      <c r="F24" s="88"/>
      <c r="H24" s="22" t="str">
        <f>AP17</f>
        <v>100第4季</v>
      </c>
      <c r="I24" s="15">
        <f>VALUE(LEFT(AQ17,4))</f>
        <v>1.22</v>
      </c>
      <c r="J24" s="170"/>
      <c r="K24" s="171"/>
      <c r="L24" s="171"/>
      <c r="M24" s="171"/>
      <c r="N24" s="171"/>
      <c r="O24" s="171"/>
      <c r="P24" s="171"/>
      <c r="Q24" s="171"/>
      <c r="R24" s="172"/>
      <c r="AN24" s="22" t="s">
        <v>1099</v>
      </c>
      <c r="AO24" s="14" t="s">
        <v>1051</v>
      </c>
      <c r="AP24" s="14" t="s">
        <v>1099</v>
      </c>
      <c r="AQ24" s="14" t="s">
        <v>1051</v>
      </c>
      <c r="AR24" s="14"/>
      <c r="AS24" s="23"/>
      <c r="AU24" s="22" t="s">
        <v>1068</v>
      </c>
      <c r="AV24" s="14"/>
      <c r="AW24" s="14" t="s">
        <v>1069</v>
      </c>
      <c r="AX24" s="14"/>
      <c r="AY24" s="14"/>
      <c r="AZ24" s="14"/>
      <c r="BA24" s="14"/>
      <c r="BB24" s="14"/>
      <c r="BC24" s="23"/>
    </row>
    <row r="25" spans="1:55">
      <c r="A25" s="22" t="s">
        <v>1178</v>
      </c>
      <c r="B25" s="14" t="s">
        <v>997</v>
      </c>
      <c r="C25" s="14" t="s">
        <v>1032</v>
      </c>
      <c r="D25" s="23" t="s">
        <v>1198</v>
      </c>
      <c r="H25" s="202"/>
      <c r="I25" s="203"/>
      <c r="J25" s="203"/>
      <c r="K25" s="203"/>
      <c r="L25" s="203"/>
      <c r="M25" s="203"/>
      <c r="N25" s="203"/>
      <c r="O25" s="203"/>
      <c r="P25" s="203"/>
      <c r="Q25" s="203"/>
      <c r="R25" s="204"/>
      <c r="AN25" s="22" t="s">
        <v>1100</v>
      </c>
      <c r="AO25" s="14" t="s">
        <v>1051</v>
      </c>
      <c r="AP25" s="14" t="s">
        <v>1100</v>
      </c>
      <c r="AQ25" s="14" t="s">
        <v>1051</v>
      </c>
      <c r="AR25" s="14"/>
      <c r="AS25" s="23"/>
      <c r="AU25" s="22" t="s">
        <v>1066</v>
      </c>
      <c r="AV25" s="14"/>
      <c r="AW25" s="14" t="s">
        <v>1067</v>
      </c>
      <c r="AX25" s="14"/>
      <c r="AY25" s="14"/>
      <c r="AZ25" s="14"/>
      <c r="BA25" s="14"/>
      <c r="BB25" s="14"/>
      <c r="BC25" s="23"/>
    </row>
    <row r="26" spans="1:55">
      <c r="A26" s="24">
        <f>T3</f>
        <v>100</v>
      </c>
      <c r="B26" s="8">
        <f>VLOOKUP(A26,$T$3:$Y$12,2,0)</f>
        <v>3</v>
      </c>
      <c r="C26" s="8">
        <f>VLOOKUP(A26,$T$3:$Y$12,5,0)</f>
        <v>0</v>
      </c>
      <c r="D26" s="25">
        <f>SUM(B26:C26)</f>
        <v>3</v>
      </c>
      <c r="H26" s="211" t="str">
        <f>AR16</f>
        <v>最近四年每股盈餘</v>
      </c>
      <c r="I26" s="212"/>
      <c r="J26" s="193"/>
      <c r="K26" s="194"/>
      <c r="L26" s="194"/>
      <c r="M26" s="194"/>
      <c r="N26" s="194"/>
      <c r="O26" s="194"/>
      <c r="P26" s="194"/>
      <c r="Q26" s="194"/>
      <c r="R26" s="195"/>
      <c r="AN26" s="22" t="s">
        <v>1101</v>
      </c>
      <c r="AO26" s="14" t="s">
        <v>1051</v>
      </c>
      <c r="AP26" s="14" t="s">
        <v>1101</v>
      </c>
      <c r="AQ26" s="14" t="s">
        <v>1051</v>
      </c>
      <c r="AR26" s="14"/>
      <c r="AS26" s="23"/>
      <c r="AU26" s="22" t="s">
        <v>1154</v>
      </c>
      <c r="AV26" s="14"/>
      <c r="AW26" s="14" t="s">
        <v>1071</v>
      </c>
      <c r="AX26" s="14"/>
      <c r="AY26" s="14"/>
      <c r="AZ26" s="14"/>
      <c r="BA26" s="14"/>
      <c r="BB26" s="14"/>
      <c r="BC26" s="23"/>
    </row>
    <row r="27" spans="1:55">
      <c r="A27" s="45">
        <f t="shared" ref="A27:A35" si="0">A26-1</f>
        <v>99</v>
      </c>
      <c r="B27" s="10">
        <f>VLOOKUP(A27,$T$3:$Y$12,2,0)</f>
        <v>3</v>
      </c>
      <c r="C27" s="10">
        <f>VLOOKUP(A27,$T$3:$Y$12,5,0)</f>
        <v>0</v>
      </c>
      <c r="D27" s="46">
        <f>SUM(B27:C27)</f>
        <v>3</v>
      </c>
      <c r="G27" s="7"/>
      <c r="H27" s="22" t="str">
        <f>AR20</f>
        <v>96年</v>
      </c>
      <c r="I27" s="14">
        <f>VALUE(LEFT(AS20,4))</f>
        <v>4.1399999999999997</v>
      </c>
      <c r="J27" s="196"/>
      <c r="K27" s="197"/>
      <c r="L27" s="197"/>
      <c r="M27" s="197"/>
      <c r="N27" s="197"/>
      <c r="O27" s="197"/>
      <c r="P27" s="197"/>
      <c r="Q27" s="197"/>
      <c r="R27" s="198"/>
      <c r="AN27" s="22" t="s">
        <v>1102</v>
      </c>
      <c r="AO27" s="14" t="s">
        <v>1051</v>
      </c>
      <c r="AP27" s="14" t="s">
        <v>1102</v>
      </c>
      <c r="AQ27" s="14" t="s">
        <v>1051</v>
      </c>
      <c r="AR27" s="14"/>
      <c r="AS27" s="23"/>
      <c r="AU27" s="22" t="s">
        <v>1155</v>
      </c>
      <c r="AV27" s="14"/>
      <c r="AW27" s="14" t="s">
        <v>1073</v>
      </c>
      <c r="AX27" s="14"/>
      <c r="AY27" s="14"/>
      <c r="AZ27" s="14"/>
      <c r="BA27" s="14"/>
      <c r="BB27" s="14"/>
      <c r="BC27" s="23"/>
    </row>
    <row r="28" spans="1:55">
      <c r="A28" s="24">
        <f t="shared" si="0"/>
        <v>98</v>
      </c>
      <c r="B28" s="8">
        <f>VLOOKUP(A28,$T$3:$Y$12,2,0)</f>
        <v>3</v>
      </c>
      <c r="C28" s="8">
        <f>VLOOKUP(A28,$T$3:$Y$12,5,0)</f>
        <v>0</v>
      </c>
      <c r="D28" s="25">
        <f>SUM(B28:C28)</f>
        <v>3</v>
      </c>
      <c r="H28" s="22" t="str">
        <f>AR19</f>
        <v>97年</v>
      </c>
      <c r="I28" s="15">
        <f>VALUE(LEFT(AS19,4))</f>
        <v>3.86</v>
      </c>
      <c r="J28" s="196"/>
      <c r="K28" s="197"/>
      <c r="L28" s="197"/>
      <c r="M28" s="197"/>
      <c r="N28" s="197"/>
      <c r="O28" s="197"/>
      <c r="P28" s="197"/>
      <c r="Q28" s="197"/>
      <c r="R28" s="198"/>
      <c r="AN28" s="22" t="s">
        <v>1103</v>
      </c>
      <c r="AO28" s="14" t="s">
        <v>1051</v>
      </c>
      <c r="AP28" s="14" t="s">
        <v>1103</v>
      </c>
      <c r="AQ28" s="14" t="s">
        <v>1051</v>
      </c>
      <c r="AR28" s="14"/>
      <c r="AS28" s="23"/>
      <c r="AU28" s="22" t="s">
        <v>1156</v>
      </c>
      <c r="AV28" s="14">
        <v>101</v>
      </c>
      <c r="AW28" s="14">
        <v>100</v>
      </c>
      <c r="AX28" s="14">
        <v>99</v>
      </c>
      <c r="AY28" s="14">
        <v>98</v>
      </c>
      <c r="AZ28" s="14">
        <v>97</v>
      </c>
      <c r="BA28" s="14">
        <v>96</v>
      </c>
      <c r="BB28" s="90">
        <v>95</v>
      </c>
      <c r="BC28" s="23">
        <v>94</v>
      </c>
    </row>
    <row r="29" spans="1:55">
      <c r="A29" s="45">
        <f t="shared" si="0"/>
        <v>97</v>
      </c>
      <c r="B29" s="10">
        <f>VLOOKUP(A29,$T$3:$Y$12,2,0)</f>
        <v>3</v>
      </c>
      <c r="C29" s="10">
        <f>VLOOKUP(A29,$T$3:$Y$12,5,0)</f>
        <v>0.05</v>
      </c>
      <c r="D29" s="46">
        <f>SUM(B29:C29)</f>
        <v>3.05</v>
      </c>
      <c r="H29" s="22" t="str">
        <f>AR18</f>
        <v>98年</v>
      </c>
      <c r="I29" s="15">
        <f>VALUE(LEFT(AS18,4))</f>
        <v>3.45</v>
      </c>
      <c r="J29" s="196"/>
      <c r="K29" s="197"/>
      <c r="L29" s="197"/>
      <c r="M29" s="197"/>
      <c r="N29" s="197"/>
      <c r="O29" s="197"/>
      <c r="P29" s="197"/>
      <c r="Q29" s="197"/>
      <c r="R29" s="198"/>
      <c r="AN29" s="22" t="s">
        <v>1103</v>
      </c>
      <c r="AO29" s="14"/>
      <c r="AP29" s="14"/>
      <c r="AQ29" s="14"/>
      <c r="AR29" s="14"/>
      <c r="AS29" s="23"/>
      <c r="AU29" s="22" t="s">
        <v>1157</v>
      </c>
      <c r="AV29" s="90">
        <v>2101637</v>
      </c>
      <c r="AW29" s="90">
        <v>2020773</v>
      </c>
      <c r="AX29" s="90">
        <v>1888476</v>
      </c>
      <c r="AY29" s="90">
        <v>1683263</v>
      </c>
      <c r="AZ29" s="90">
        <v>1781126</v>
      </c>
      <c r="BA29" s="90">
        <v>1928688</v>
      </c>
      <c r="BB29" s="90">
        <v>1753406</v>
      </c>
      <c r="BC29" s="115">
        <v>1580000</v>
      </c>
    </row>
    <row r="30" spans="1:55">
      <c r="A30" s="24">
        <f t="shared" si="0"/>
        <v>96</v>
      </c>
      <c r="B30" s="8">
        <f t="shared" ref="B30:B35" si="1">VLOOKUP(A30,$T$3:$Y$12,2,0)</f>
        <v>3.03</v>
      </c>
      <c r="C30" s="8">
        <f t="shared" ref="C30:C35" si="2">VLOOKUP(A30,$T$3:$Y$12,5,0)</f>
        <v>0.05</v>
      </c>
      <c r="D30" s="25">
        <f t="shared" ref="D30:D35" si="3">SUM(B30:C30)</f>
        <v>3.0799999999999996</v>
      </c>
      <c r="H30" s="22" t="str">
        <f>AR17</f>
        <v>99年</v>
      </c>
      <c r="I30" s="15">
        <f>VALUE(LEFT(AS17,4))</f>
        <v>6.24</v>
      </c>
      <c r="J30" s="199"/>
      <c r="K30" s="200"/>
      <c r="L30" s="200"/>
      <c r="M30" s="200"/>
      <c r="N30" s="200"/>
      <c r="O30" s="200"/>
      <c r="P30" s="200"/>
      <c r="Q30" s="200"/>
      <c r="R30" s="201"/>
      <c r="AN30" s="35"/>
      <c r="AO30" s="13"/>
      <c r="AP30" s="13"/>
      <c r="AQ30" s="13"/>
      <c r="AR30" s="13"/>
      <c r="AS30" s="36"/>
      <c r="AU30" s="22" t="s">
        <v>1158</v>
      </c>
      <c r="AV30" s="90">
        <v>1943571</v>
      </c>
      <c r="AW30" s="90">
        <v>1640368</v>
      </c>
      <c r="AX30" s="90">
        <v>1481518</v>
      </c>
      <c r="AY30" s="90">
        <v>1014761</v>
      </c>
      <c r="AZ30" s="90">
        <v>953214</v>
      </c>
      <c r="BA30" s="90">
        <v>1545776</v>
      </c>
      <c r="BB30" s="90">
        <v>1366041</v>
      </c>
      <c r="BC30" s="115">
        <v>1088188</v>
      </c>
    </row>
    <row r="31" spans="1:55" ht="16.8" thickBot="1">
      <c r="A31" s="45">
        <f t="shared" si="0"/>
        <v>95</v>
      </c>
      <c r="B31" s="10">
        <f t="shared" si="1"/>
        <v>3</v>
      </c>
      <c r="C31" s="10">
        <f t="shared" si="2"/>
        <v>0.05</v>
      </c>
      <c r="D31" s="46">
        <f t="shared" si="3"/>
        <v>3.05</v>
      </c>
      <c r="H31" s="205"/>
      <c r="I31" s="206"/>
      <c r="J31" s="206"/>
      <c r="K31" s="206"/>
      <c r="L31" s="206"/>
      <c r="M31" s="206"/>
      <c r="N31" s="206"/>
      <c r="O31" s="206"/>
      <c r="P31" s="206"/>
      <c r="Q31" s="206"/>
      <c r="R31" s="207"/>
      <c r="AN31" s="35"/>
      <c r="AO31" s="13"/>
      <c r="AP31" s="13"/>
      <c r="AQ31" s="13"/>
      <c r="AR31" s="13"/>
      <c r="AS31" s="36"/>
      <c r="AU31" s="22" t="s">
        <v>1159</v>
      </c>
      <c r="AV31" s="14">
        <v>15</v>
      </c>
      <c r="AW31" s="14">
        <v>14</v>
      </c>
      <c r="AX31" s="14">
        <v>24</v>
      </c>
      <c r="AY31" s="14">
        <v>24</v>
      </c>
      <c r="AZ31" s="14">
        <v>17</v>
      </c>
      <c r="BA31" s="14">
        <v>17</v>
      </c>
      <c r="BB31" s="14">
        <v>21</v>
      </c>
      <c r="BC31" s="23">
        <v>19</v>
      </c>
    </row>
    <row r="32" spans="1:55" ht="16.8" thickTop="1">
      <c r="A32" s="135">
        <f t="shared" si="0"/>
        <v>94</v>
      </c>
      <c r="B32" s="136">
        <f t="shared" si="1"/>
        <v>2.5</v>
      </c>
      <c r="C32" s="136">
        <f t="shared" si="2"/>
        <v>0.3</v>
      </c>
      <c r="D32" s="137">
        <f t="shared" si="3"/>
        <v>2.8</v>
      </c>
      <c r="AN32" s="35"/>
      <c r="AO32" s="13"/>
      <c r="AP32" s="13"/>
      <c r="AQ32" s="13"/>
      <c r="AR32" s="13"/>
      <c r="AS32" s="36"/>
      <c r="AU32" s="22" t="s">
        <v>1160</v>
      </c>
      <c r="AV32" s="14">
        <v>14</v>
      </c>
      <c r="AW32" s="14">
        <v>10</v>
      </c>
      <c r="AX32" s="14">
        <v>11</v>
      </c>
      <c r="AY32" s="14">
        <v>8</v>
      </c>
      <c r="AZ32" s="14">
        <v>8</v>
      </c>
      <c r="BA32" s="14">
        <v>12</v>
      </c>
      <c r="BB32" s="14">
        <v>12</v>
      </c>
      <c r="BC32" s="23">
        <v>13</v>
      </c>
    </row>
    <row r="33" spans="1:55">
      <c r="A33" s="45">
        <f t="shared" si="0"/>
        <v>93</v>
      </c>
      <c r="B33" s="10">
        <f t="shared" si="1"/>
        <v>2</v>
      </c>
      <c r="C33" s="10">
        <f t="shared" si="2"/>
        <v>0.5</v>
      </c>
      <c r="D33" s="46">
        <f t="shared" si="3"/>
        <v>2.5</v>
      </c>
      <c r="AN33" s="35"/>
      <c r="AO33" s="13"/>
      <c r="AP33" s="13"/>
      <c r="AQ33" s="13"/>
      <c r="AR33" s="13"/>
      <c r="AS33" s="36" t="s">
        <v>1031</v>
      </c>
      <c r="AU33" s="22" t="s">
        <v>1031</v>
      </c>
      <c r="AV33" s="14" t="s">
        <v>1149</v>
      </c>
      <c r="AW33" s="14">
        <v>0</v>
      </c>
      <c r="AX33" s="14">
        <v>0</v>
      </c>
      <c r="AY33" s="14">
        <v>0</v>
      </c>
      <c r="AZ33" s="14">
        <v>0.05</v>
      </c>
      <c r="BA33" s="14">
        <v>0.05</v>
      </c>
      <c r="BB33" s="14">
        <v>0.05</v>
      </c>
      <c r="BC33" s="23">
        <v>0.3</v>
      </c>
    </row>
    <row r="34" spans="1:55" ht="16.8" thickBot="1">
      <c r="A34" s="135">
        <f t="shared" si="0"/>
        <v>92</v>
      </c>
      <c r="B34" s="136">
        <f t="shared" si="1"/>
        <v>0.6</v>
      </c>
      <c r="C34" s="136">
        <f t="shared" si="2"/>
        <v>1.41</v>
      </c>
      <c r="D34" s="137">
        <f t="shared" si="3"/>
        <v>2.0099999999999998</v>
      </c>
      <c r="AN34" s="37"/>
      <c r="AO34" s="38"/>
      <c r="AP34" s="38"/>
      <c r="AQ34" s="38"/>
      <c r="AR34" s="38"/>
      <c r="AS34" s="39" t="s">
        <v>1029</v>
      </c>
      <c r="AU34" s="42" t="s">
        <v>1029</v>
      </c>
      <c r="AV34" s="43" t="s">
        <v>1149</v>
      </c>
      <c r="AW34" s="43">
        <v>3</v>
      </c>
      <c r="AX34" s="43">
        <v>3</v>
      </c>
      <c r="AY34" s="43">
        <v>3</v>
      </c>
      <c r="AZ34" s="43">
        <v>3</v>
      </c>
      <c r="BA34" s="43">
        <v>3.03</v>
      </c>
      <c r="BB34" s="43">
        <v>3</v>
      </c>
      <c r="BC34" s="44">
        <v>2.5</v>
      </c>
    </row>
    <row r="35" spans="1:55" ht="16.8" thickTop="1">
      <c r="A35" s="45">
        <f t="shared" si="0"/>
        <v>91</v>
      </c>
      <c r="B35" s="10">
        <f t="shared" si="1"/>
        <v>0</v>
      </c>
      <c r="C35" s="10">
        <f t="shared" si="2"/>
        <v>0.8</v>
      </c>
      <c r="D35" s="46">
        <f t="shared" si="3"/>
        <v>0.8</v>
      </c>
    </row>
    <row r="36" spans="1:55">
      <c r="A36" s="26" t="s">
        <v>1026</v>
      </c>
      <c r="B36" s="17">
        <f>AVERAGE(B26:B28)</f>
        <v>3</v>
      </c>
      <c r="C36" s="17">
        <f>AVERAGE(C26:C28)</f>
        <v>0</v>
      </c>
      <c r="D36" s="27">
        <f>AVERAGE(D26:D28)</f>
        <v>3</v>
      </c>
    </row>
    <row r="37" spans="1:55">
      <c r="A37" s="28" t="s">
        <v>1027</v>
      </c>
      <c r="B37" s="18">
        <f>AVERAGE(B26:B30)</f>
        <v>3.0059999999999998</v>
      </c>
      <c r="C37" s="18">
        <f>AVERAGE(C26:C30)</f>
        <v>0.02</v>
      </c>
      <c r="D37" s="29">
        <f>AVERAGE(D26:D30)</f>
        <v>3.0260000000000002</v>
      </c>
    </row>
    <row r="38" spans="1:55">
      <c r="A38" s="30" t="s">
        <v>1028</v>
      </c>
      <c r="B38" s="19">
        <f>AVERAGE(B26:B35)</f>
        <v>2.3130000000000002</v>
      </c>
      <c r="C38" s="19">
        <f>AVERAGE(C26:C35)</f>
        <v>0.316</v>
      </c>
      <c r="D38" s="31">
        <f>AVERAGE(D26:D35)</f>
        <v>2.6290000000000004</v>
      </c>
    </row>
    <row r="39" spans="1:55" ht="16.8" thickBot="1">
      <c r="A39" s="32" t="s">
        <v>1035</v>
      </c>
      <c r="B39" s="33">
        <f>MIN(B26:B35)</f>
        <v>0</v>
      </c>
      <c r="C39" s="33">
        <f>MIN(C26:C35)</f>
        <v>0</v>
      </c>
      <c r="D39" s="34">
        <f>MIN(D26:D35)</f>
        <v>0.8</v>
      </c>
    </row>
    <row r="40" spans="1:55" ht="16.8" thickTop="1"/>
  </sheetData>
  <mergeCells count="20">
    <mergeCell ref="AU1:BC1"/>
    <mergeCell ref="J26:R30"/>
    <mergeCell ref="H25:R25"/>
    <mergeCell ref="H31:R31"/>
    <mergeCell ref="T1:Y1"/>
    <mergeCell ref="H17:R17"/>
    <mergeCell ref="H19:R19"/>
    <mergeCell ref="H26:I26"/>
    <mergeCell ref="AA1:AL1"/>
    <mergeCell ref="AC2:AL3"/>
    <mergeCell ref="H1:R1"/>
    <mergeCell ref="H2:K2"/>
    <mergeCell ref="AN1:AS1"/>
    <mergeCell ref="A3:D3"/>
    <mergeCell ref="E3:F3"/>
    <mergeCell ref="H20:I20"/>
    <mergeCell ref="J20:R24"/>
    <mergeCell ref="A24:D24"/>
    <mergeCell ref="H9:R9"/>
    <mergeCell ref="H10:K10"/>
  </mergeCells>
  <phoneticPr fontId="21" type="noConversion"/>
  <conditionalFormatting sqref="F4">
    <cfRule type="cellIs" dxfId="24" priority="1" stopIfTrue="1" operator="greaterThanOrEqual">
      <formula>0.2</formula>
    </cfRule>
    <cfRule type="cellIs" dxfId="23" priority="2" stopIfTrue="1" operator="lessThan">
      <formula>0.2</formula>
    </cfRule>
  </conditionalFormatting>
  <conditionalFormatting sqref="F6">
    <cfRule type="cellIs" dxfId="22" priority="5" stopIfTrue="1" operator="greaterThan">
      <formula>2</formula>
    </cfRule>
    <cfRule type="cellIs" dxfId="21" priority="6" stopIfTrue="1" operator="lessThanOrEqual">
      <formula>2</formula>
    </cfRule>
  </conditionalFormatting>
  <conditionalFormatting sqref="F7">
    <cfRule type="cellIs" dxfId="20" priority="7" stopIfTrue="1" operator="lessThanOrEqual">
      <formula>12</formula>
    </cfRule>
    <cfRule type="cellIs" dxfId="19" priority="8" stopIfTrue="1" operator="greaterThan">
      <formula>12</formula>
    </cfRule>
  </conditionalFormatting>
  <conditionalFormatting sqref="F8">
    <cfRule type="cellIs" dxfId="18" priority="9" stopIfTrue="1" operator="lessThan">
      <formula>0.5</formula>
    </cfRule>
    <cfRule type="cellIs" dxfId="17" priority="10" stopIfTrue="1" operator="greaterThanOrEqual">
      <formula>0.5</formula>
    </cfRule>
  </conditionalFormatting>
  <conditionalFormatting sqref="F2">
    <cfRule type="cellIs" dxfId="16" priority="11" stopIfTrue="1" operator="greaterThanOrEqual">
      <formula>15</formula>
    </cfRule>
    <cfRule type="cellIs" dxfId="15" priority="12" stopIfTrue="1" operator="lessThan">
      <formula>15</formula>
    </cfRule>
  </conditionalFormatting>
  <conditionalFormatting sqref="B10:F10">
    <cfRule type="cellIs" dxfId="14" priority="15" stopIfTrue="1" operator="greaterThan">
      <formula>0.0625</formula>
    </cfRule>
    <cfRule type="cellIs" dxfId="13" priority="16" stopIfTrue="1" operator="lessThan">
      <formula>0.0625</formula>
    </cfRule>
  </conditionalFormatting>
  <conditionalFormatting sqref="B12:F12">
    <cfRule type="cellIs" dxfId="12" priority="17" stopIfTrue="1" operator="greaterThanOrEqual">
      <formula>0.0625</formula>
    </cfRule>
    <cfRule type="cellIs" dxfId="11" priority="18" stopIfTrue="1" operator="lessThan">
      <formula>0.0625</formula>
    </cfRule>
  </conditionalFormatting>
  <conditionalFormatting sqref="F1">
    <cfRule type="cellIs" dxfId="10" priority="19" stopIfTrue="1" operator="greaterThanOrEqual">
      <formula>50</formula>
    </cfRule>
    <cfRule type="cellIs" dxfId="9" priority="20" stopIfTrue="1" operator="lessThan">
      <formula>50</formula>
    </cfRule>
  </conditionalFormatting>
  <conditionalFormatting sqref="D1">
    <cfRule type="cellIs" dxfId="8" priority="21" stopIfTrue="1" operator="between">
      <formula>$K$7</formula>
      <formula>$J$7</formula>
    </cfRule>
    <cfRule type="cellIs" dxfId="7" priority="22" stopIfTrue="1" operator="between">
      <formula>$J$7</formula>
      <formula>$I$7</formula>
    </cfRule>
    <cfRule type="cellIs" dxfId="6" priority="23" stopIfTrue="1" operator="lessThan">
      <formula>$I$7</formula>
    </cfRule>
  </conditionalFormatting>
  <conditionalFormatting sqref="AB14">
    <cfRule type="expression" dxfId="5" priority="45" stopIfTrue="1">
      <formula>IF(LEFT(AF6,1)="▽",AF6,)</formula>
    </cfRule>
  </conditionalFormatting>
  <conditionalFormatting sqref="D2">
    <cfRule type="expression" dxfId="4" priority="46" stopIfTrue="1">
      <formula>VALUE($AB$13)&lt;0</formula>
    </cfRule>
    <cfRule type="expression" dxfId="3" priority="47" stopIfTrue="1">
      <formula>VALUE($AB$13)&gt;0</formula>
    </cfRule>
    <cfRule type="expression" dxfId="2" priority="48" stopIfTrue="1">
      <formula>VALUE($AB$13)=0</formula>
    </cfRule>
  </conditionalFormatting>
  <conditionalFormatting sqref="F5">
    <cfRule type="cellIs" dxfId="1" priority="72" stopIfTrue="1" operator="greaterThanOrEqual">
      <formula>0.05</formula>
    </cfRule>
    <cfRule type="cellIs" dxfId="0" priority="73" stopIfTrue="1" operator="lessThan">
      <formula>0.05</formula>
    </cfRule>
  </conditionalFormatting>
  <pageMargins left="0.75" right="0.75" top="1" bottom="1" header="0.5" footer="0.5"/>
  <headerFooter alignWithMargins="0"/>
  <drawing r:id="rId1"/>
  <legacyDrawing r:id="rId2"/>
</worksheet>
</file>

<file path=docProps/app.xml><?xml version="1.0" encoding="utf-8"?>
<Properties xmlns="http://schemas.openxmlformats.org/officeDocument/2006/extended-properties" xmlns:vt="http://schemas.openxmlformats.org/officeDocument/2006/docPropsVTypes">
  <Application>Microsoft Excel</Application>
  <DocSecurity>0</DocSecurity>
  <ScaleCrop>false</ScaleCrop>
  <HeadingPairs>
    <vt:vector size="4" baseType="variant">
      <vt:variant>
        <vt:lpstr>工作表</vt:lpstr>
      </vt:variant>
      <vt:variant>
        <vt:i4>3</vt:i4>
      </vt:variant>
      <vt:variant>
        <vt:lpstr>已命名的範圍</vt:lpstr>
      </vt:variant>
      <vt:variant>
        <vt:i4>5</vt:i4>
      </vt:variant>
    </vt:vector>
  </HeadingPairs>
  <TitlesOfParts>
    <vt:vector size="8" baseType="lpstr">
      <vt:lpstr>可扣抵稅率比率表</vt:lpstr>
      <vt:lpstr>總覽表</vt:lpstr>
      <vt:lpstr>台積電</vt:lpstr>
      <vt:lpstr>台積電!company_2330</vt:lpstr>
      <vt:lpstr>台積電!dividend_2330</vt:lpstr>
      <vt:lpstr>台積電!q?s_2330_1</vt:lpstr>
      <vt:lpstr>台積電!q?s_2330_2</vt:lpstr>
      <vt:lpstr>台積電!zca_2330.djhtm</vt:lpstr>
    </vt:vector>
  </TitlesOfParts>
  <Company>corp</Company>
  <LinksUpToDate>false</LinksUpToDate>
  <SharedDoc>false</SharedDoc>
  <HyperlinksChanged>false</HyperlinksChanged>
  <AppVersion>12.0000</AppVersion>
</Properties>
</file>

<file path=docProps/core.xml><?xml version="1.0" encoding="utf-8"?>
<cp:coreProperties xmlns:cp="http://schemas.openxmlformats.org/package/2006/metadata/core-properties" xmlns:dc="http://purl.org/dc/elements/1.1/" xmlns:dcterms="http://purl.org/dc/terms/" xmlns:dcmitype="http://purl.org/dc/dcmitype/" xmlns:xsi="http://www.w3.org/2001/XMLSchema-instance">
  <dc:creator>tenyo</dc:creator>
  <cp:lastModifiedBy>tenyo</cp:lastModifiedBy>
  <dcterms:created xsi:type="dcterms:W3CDTF">2012-02-27T12:23:48Z</dcterms:created>
  <dcterms:modified xsi:type="dcterms:W3CDTF">2012-03-04T23:52:12Z</dcterms:modified>
</cp:coreProperties>
</file>